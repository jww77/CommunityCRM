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Hours Tracker" sheetId="2" state="visible" r:id="rId2"/>
    <sheet xmlns:r="http://schemas.openxmlformats.org/officeDocument/2006/relationships" name="Engagement Scores" sheetId="3" state="visible" r:id="rId3"/>
    <sheet xmlns:r="http://schemas.openxmlformats.org/officeDocument/2006/relationships" name="Donations" sheetId="4" state="visible" r:id="rId4"/>
    <sheet xmlns:r="http://schemas.openxmlformats.org/officeDocument/2006/relationships" name="Lapsed Outreach" sheetId="5" state="visible" r:id="rId5"/>
    <sheet xmlns:r="http://schemas.openxmlformats.org/officeDocument/2006/relationships" name="Conta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#,##0.0&quot;"/>
    <numFmt numFmtId="165" formatCode="#,##0.0"/>
    <numFmt numFmtId="166" formatCode="&quot;$&quot;#,##0.00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1D9E75"/>
      <sz val="9"/>
    </font>
    <font>
      <name val="Arial"/>
      <b val="1"/>
      <color rgb="00444441"/>
      <sz val="10"/>
    </font>
    <font>
      <name val="Arial"/>
      <color rgb="001A1A18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1A1A18"/>
      <sz val="10"/>
    </font>
    <font>
      <name val="Arial"/>
      <i val="1"/>
      <color rgb="00534AB7"/>
      <sz val="9"/>
    </font>
    <font>
      <name val="Arial"/>
      <i val="1"/>
      <color rgb="00993C1D"/>
      <sz val="9"/>
    </font>
    <font>
      <name val="Arial"/>
      <b val="1"/>
      <color rgb="00BA7517"/>
      <sz val="9"/>
    </font>
    <font>
      <name val="Arial"/>
      <b val="1"/>
      <color rgb="00444441"/>
      <sz val="11"/>
    </font>
    <font>
      <name val="Arial"/>
      <i val="1"/>
      <color rgb="00888780"/>
      <sz val="8"/>
    </font>
    <font>
      <name val="Arial"/>
      <color rgb="003B6D11"/>
      <sz val="10"/>
    </font>
    <font>
      <name val="Arial"/>
      <b val="1"/>
      <color rgb="003B6D11"/>
      <sz val="9"/>
    </font>
    <font>
      <name val="Arial"/>
      <b val="1"/>
      <color rgb="00993C1D"/>
      <sz val="10"/>
    </font>
    <font>
      <name val="Arial"/>
      <b val="1"/>
      <color rgb="00993C1D"/>
      <sz val="9"/>
    </font>
    <font>
      <name val="Arial"/>
      <color rgb="00FFFFFF"/>
      <sz val="9"/>
    </font>
    <font>
      <name val="Arial"/>
      <b val="1"/>
      <color rgb="00444441"/>
      <sz val="9"/>
    </font>
    <font>
      <name val="Arial"/>
      <i val="1"/>
      <color rgb="001D9E75"/>
      <sz val="10"/>
    </font>
  </fonts>
  <fills count="15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E1F5EE"/>
      </patternFill>
    </fill>
    <fill>
      <patternFill patternType="solid">
        <fgColor rgb="00F8F7F4"/>
      </patternFill>
    </fill>
    <fill>
      <patternFill patternType="solid">
        <fgColor rgb="00FFFFFF"/>
      </patternFill>
    </fill>
    <fill>
      <patternFill patternType="solid">
        <fgColor rgb="00F4F3EF"/>
      </patternFill>
    </fill>
    <fill>
      <patternFill patternType="solid">
        <fgColor rgb="00534AB7"/>
      </patternFill>
    </fill>
    <fill>
      <patternFill patternType="solid">
        <fgColor rgb="00EEEDFE"/>
      </patternFill>
    </fill>
    <fill>
      <patternFill patternType="solid">
        <fgColor rgb="00BA7517"/>
      </patternFill>
    </fill>
    <fill>
      <patternFill patternType="solid">
        <fgColor rgb="00993C1D"/>
      </patternFill>
    </fill>
    <fill>
      <patternFill patternType="solid">
        <fgColor rgb="00FAECE7"/>
      </patternFill>
    </fill>
    <fill>
      <patternFill patternType="solid">
        <fgColor rgb="00FAEEDA"/>
      </patternFill>
    </fill>
    <fill>
      <patternFill patternType="solid">
        <fgColor rgb="00EAF3DE"/>
      </patternFill>
    </fill>
    <fill>
      <patternFill patternType="solid">
        <fgColor rgb="00444441"/>
      </patternFill>
    </fill>
  </fills>
  <borders count="2">
    <border>
      <left/>
      <right/>
      <top/>
      <bottom/>
      <diagonal/>
    </border>
    <border>
      <left style="thin">
        <color rgb="00D0CFC8"/>
      </left>
      <right style="thin">
        <color rgb="00D0CFC8"/>
      </right>
      <top style="thin">
        <color rgb="00D0CFC8"/>
      </top>
      <bottom style="thin">
        <color rgb="00D0CFC8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164" fontId="4" fillId="5" borderId="1" applyAlignment="1" pivotButton="0" quotePrefix="0" xfId="0">
      <alignment horizontal="left" vertical="center"/>
    </xf>
    <xf numFmtId="165" fontId="4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left" vertical="center"/>
    </xf>
    <xf numFmtId="165" fontId="4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165" fontId="6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/>
    </xf>
    <xf numFmtId="0" fontId="1" fillId="9" borderId="0" applyAlignment="1" pivotButton="0" quotePrefix="0" xfId="0">
      <alignment horizontal="center" vertical="center"/>
    </xf>
    <xf numFmtId="166" fontId="4" fillId="5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5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1" fillId="10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11" fillId="12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14" fillId="13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66" fontId="6" fillId="1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13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color rgb="00791F1F"/>
        <sz val="10"/>
      </font>
      <fill>
        <patternFill patternType="solid">
          <fgColor rgb="00FCEBEB"/>
        </patternFill>
      </fill>
    </dxf>
    <dxf>
      <font>
        <name val="Arial"/>
        <color rgb="0027500A"/>
        <sz val="10"/>
      </font>
      <fill>
        <patternFill patternType="solid">
          <fgColor rgb="00EAF3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HoursLog" displayName="tHoursLog" ref="A3:I189" headerRowCount="1">
  <autoFilter ref="A3:I189"/>
  <tableColumns count="9">
    <tableColumn id="1" name="V.ID"/>
    <tableColumn id="2" name="First"/>
    <tableColumn id="3" name="Last"/>
    <tableColumn id="4" name="Total hours"/>
    <tableColumn id="5" name="# Shifts"/>
    <tableColumn id="6" name="Engagement pts"/>
    <tableColumn id="7" name="Date"/>
    <tableColumn id="8" name="Notes"/>
    <tableColumn id="9" name="Verified?"/>
  </tableColumns>
  <tableStyleInfo name="TableStyleMedium2" showRowStripes="1"/>
</table>
</file>

<file path=xl/tables/table2.xml><?xml version="1.0" encoding="utf-8"?>
<table xmlns="http://schemas.openxmlformats.org/spreadsheetml/2006/main" id="2" name="tEngagement" displayName="tEngagement" ref="A3:K43" headerRowCount="1">
  <autoFilter ref="A3:K43"/>
  <tableColumns count="11">
    <tableColumn id="1" name="Contact ID"/>
    <tableColumn id="2" name="First"/>
    <tableColumn id="3" name="Last"/>
    <tableColumn id="4" name="Type"/>
    <tableColumn id="5" name="Base score"/>
    <tableColumn id="6" name="Hours pts"/>
    <tableColumn id="7" name="Giving pts"/>
    <tableColumn id="8" name="Total score"/>
    <tableColumn id="9" name="Tier"/>
    <tableColumn id="10" name="Last activity"/>
    <tableColumn id="11" name="Email"/>
  </tableColumns>
  <tableStyleInfo name="TableStyleMedium4" showRowStripes="1"/>
</table>
</file>

<file path=xl/tables/table3.xml><?xml version="1.0" encoding="utf-8"?>
<table xmlns="http://schemas.openxmlformats.org/spreadsheetml/2006/main" id="3" name="tDonations" displayName="tDonations" ref="A2:K58" headerRowCount="1">
  <autoFilter ref="A2:K58"/>
  <tableColumns count="11">
    <tableColumn id="1" name="Donation ID"/>
    <tableColumn id="2" name="Contact ID"/>
    <tableColumn id="3" name="First name"/>
    <tableColumn id="4" name="Last name"/>
    <tableColumn id="5" name="Email"/>
    <tableColumn id="6" name="Amount"/>
    <tableColumn id="7" name="Fund"/>
    <tableColumn id="8" name="Method"/>
    <tableColumn id="9" name="Campaign"/>
    <tableColumn id="10" name="Date"/>
    <tableColumn id="11" name="Acknowledged?"/>
  </tableColumns>
  <tableStyleInfo name="TableStyleMedium3" showRowStripes="1"/>
</table>
</file>

<file path=xl/tables/table4.xml><?xml version="1.0" encoding="utf-8"?>
<table xmlns="http://schemas.openxmlformats.org/spreadsheetml/2006/main" id="4" name="tLapsedOutreach" displayName="tLapsedOutreach" ref="A6:L18" headerRowCount="1">
  <autoFilter ref="A6:L18"/>
  <tableColumns count="12">
    <tableColumn id="1" name="#"/>
    <tableColumn id="2" name="Contact ID"/>
    <tableColumn id="3" name="First name"/>
    <tableColumn id="4" name="Last name"/>
    <tableColumn id="5" name="Email"/>
    <tableColumn id="6" name="Phone"/>
    <tableColumn id="7" name="Last gift date"/>
    <tableColumn id="8" name="Days since gift"/>
    <tableColumn id="9" name="Total given"/>
    <tableColumn id="10" name="Tier"/>
    <tableColumn id="11" name="Suggested action"/>
    <tableColumn id="12" name="Outreach notes"/>
  </tableColumns>
  <tableStyleInfo name="TableStyleMedium7" showRowStripes="1"/>
</table>
</file>

<file path=xl/tables/table5.xml><?xml version="1.0" encoding="utf-8"?>
<table xmlns="http://schemas.openxmlformats.org/spreadsheetml/2006/main" id="5" name="tContacts" displayName="tContacts" ref="A2:J42" headerRowCount="1">
  <autoFilter ref="A2:J42"/>
  <tableColumns count="10">
    <tableColumn id="1" name="ID"/>
    <tableColumn id="2" name="First name"/>
    <tableColumn id="3" name="Last name"/>
    <tableColumn id="4" name="Email"/>
    <tableColumn id="5" name="Phone"/>
    <tableColumn id="6" name="City"/>
    <tableColumn id="7" name="Type"/>
    <tableColumn id="8" name="Status"/>
    <tableColumn id="9" name="Score"/>
    <tableColumn id="10" name="Sour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Start Here!A1" TargetMode="External" Id="rId1"/><Relationship Type="http://schemas.openxmlformats.org/officeDocument/2006/relationships/hyperlink" Target="#Hours Tracker!A1" TargetMode="External" Id="rId2"/><Relationship Type="http://schemas.openxmlformats.org/officeDocument/2006/relationships/hyperlink" Target="#Engagement Scores!A1" TargetMode="External" Id="rId3"/><Relationship Type="http://schemas.openxmlformats.org/officeDocument/2006/relationships/hyperlink" Target="#Donations!A1" TargetMode="External" Id="rId4"/><Relationship Type="http://schemas.openxmlformats.org/officeDocument/2006/relationships/hyperlink" Target="#Lapsed Outreach!A1" TargetMode="External" Id="rId5"/><Relationship Type="http://schemas.openxmlformats.org/officeDocument/2006/relationships/hyperlink" Target="#Contacts!A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40" customHeight="1">
      <c r="B2" s="1" t="inlineStr">
        <is>
          <t>CommunityCRM — Volunteer Hours Tracker + Lapsed Donor Outreach</t>
        </is>
      </c>
    </row>
    <row r="3" ht="20" customHeight="1">
      <c r="B3" s="2" t="inlineStr">
        <is>
          <t>Upload this file to Google Sheets: drive.google.com → New → File upload → then Open with Google Sheets</t>
        </is>
      </c>
    </row>
    <row r="4" ht="12" customHeight="1"/>
    <row r="5" ht="22" customHeight="1">
      <c r="B5" s="3" t="inlineStr">
        <is>
          <t>Sheet</t>
        </is>
      </c>
      <c r="E5" s="3" t="inlineStr">
        <is>
          <t>What it does</t>
        </is>
      </c>
    </row>
    <row r="6" ht="24" customHeight="1">
      <c r="B6" s="4" t="inlineStr">
        <is>
          <t>Start Here</t>
        </is>
      </c>
      <c r="E6" s="5" t="inlineStr">
        <is>
          <t>This sheet — overview and instructions</t>
        </is>
      </c>
    </row>
    <row r="7" ht="24" customHeight="1">
      <c r="B7" s="6" t="inlineStr">
        <is>
          <t>Hours Tracker</t>
        </is>
      </c>
      <c r="E7" s="7" t="inlineStr">
        <is>
          <t>Log volunteer hours here. Scores update automatically.</t>
        </is>
      </c>
    </row>
    <row r="8" ht="24" customHeight="1">
      <c r="B8" s="8" t="inlineStr">
        <is>
          <t>Engagement Scores</t>
        </is>
      </c>
      <c r="E8" s="5" t="inlineStr">
        <is>
          <t>Live scores for every contact — auto-calculated from hours + gifts.</t>
        </is>
      </c>
    </row>
    <row r="9" ht="24" customHeight="1">
      <c r="B9" s="9" t="inlineStr">
        <is>
          <t>Donations</t>
        </is>
      </c>
      <c r="E9" s="7" t="inlineStr">
        <is>
          <t>Log every donation here. Feeds lapsed list and giving scores.</t>
        </is>
      </c>
    </row>
    <row r="10" ht="24" customHeight="1">
      <c r="B10" s="10" t="inlineStr">
        <is>
          <t>Lapsed Outreach</t>
        </is>
      </c>
      <c r="E10" s="5" t="inlineStr">
        <is>
          <t>Auto-filtered list of donors who haven't given in 90+ days.</t>
        </is>
      </c>
    </row>
    <row r="11" ht="24" customHeight="1">
      <c r="B11" s="6" t="inlineStr">
        <is>
          <t>Contacts</t>
        </is>
      </c>
      <c r="E11" s="7" t="inlineStr">
        <is>
          <t>Master contact list — add everyone here first.</t>
        </is>
      </c>
    </row>
    <row r="13" ht="26" customHeight="1">
      <c r="B13" s="11" t="inlineStr">
        <is>
          <t>HOW TO USE THIS CRM — STEP BY STEP</t>
        </is>
      </c>
    </row>
    <row r="14" ht="36" customHeight="1">
      <c r="B14" s="6" t="inlineStr">
        <is>
          <t>Step 1</t>
        </is>
      </c>
      <c r="D14" s="12" t="inlineStr">
        <is>
          <t>Open the Contacts sheet. Add or review the sample contacts. For each real person, add their name, email, and type (Volunteer, Donor, or Both).</t>
        </is>
      </c>
    </row>
    <row r="15" ht="36" customHeight="1">
      <c r="B15" s="6" t="inlineStr">
        <is>
          <t>Step 2</t>
        </is>
      </c>
      <c r="D15" s="13" t="inlineStr">
        <is>
          <t>Go to Hours Tracker. Each time a volunteer completes a shift, add a new row: Contact ID, Program, Hours, Date. The Engagement Scores sheet recalculates automatically.</t>
        </is>
      </c>
    </row>
    <row r="16" ht="36" customHeight="1">
      <c r="B16" s="6" t="inlineStr">
        <is>
          <t>Step 3</t>
        </is>
      </c>
      <c r="D16" s="12" t="inlineStr">
        <is>
          <t>Go to Donations. Each time someone gives, add a row: Contact ID, Amount, Fund, Date. This feeds both the Engagement Scores and the Lapsed Outreach list.</t>
        </is>
      </c>
    </row>
    <row r="17" ht="36" customHeight="1">
      <c r="B17" s="6" t="inlineStr">
        <is>
          <t>Step 4</t>
        </is>
      </c>
      <c r="D17" s="13" t="inlineStr">
        <is>
          <t>Check Engagement Scores anytime to see who is High / Medium / Low / At-Risk. At-Risk contacts are highlighted in red. Reach out to them first.</t>
        </is>
      </c>
    </row>
    <row r="18" ht="36" customHeight="1">
      <c r="B18" s="6" t="inlineStr">
        <is>
          <t>Step 5</t>
        </is>
      </c>
      <c r="D18" s="12" t="inlineStr">
        <is>
          <t>Check Lapsed Outreach to see donors who haven't given in 90+ days. The list auto-sorts by urgency. Use the Suggested Action column to guide your outreach.</t>
        </is>
      </c>
    </row>
    <row r="19" ht="36" customHeight="1">
      <c r="B19" s="6" t="inlineStr">
        <is>
          <t>Step 6</t>
        </is>
      </c>
      <c r="D19" s="13" t="inlineStr">
        <is>
          <t>Share this file with your team: File → Share → Share with people. Each person can log their own hours or donations directly into the sheet.</t>
        </is>
      </c>
    </row>
  </sheetData>
  <mergeCells count="29">
    <mergeCell ref="B11:D11"/>
    <mergeCell ref="B16:C16"/>
    <mergeCell ref="B8:D8"/>
    <mergeCell ref="B3:L3"/>
    <mergeCell ref="D17:L17"/>
    <mergeCell ref="B18:C18"/>
    <mergeCell ref="E5:L5"/>
    <mergeCell ref="E8:L8"/>
    <mergeCell ref="D16:L16"/>
    <mergeCell ref="B10:D10"/>
    <mergeCell ref="B2:L2"/>
    <mergeCell ref="B9:D9"/>
    <mergeCell ref="E10:L10"/>
    <mergeCell ref="B14:C14"/>
    <mergeCell ref="D18:L18"/>
    <mergeCell ref="B17:C17"/>
    <mergeCell ref="B6:D6"/>
    <mergeCell ref="E9:L9"/>
    <mergeCell ref="D15:L15"/>
    <mergeCell ref="B5:D5"/>
    <mergeCell ref="B13:L13"/>
    <mergeCell ref="B19:C19"/>
    <mergeCell ref="E6:L6"/>
    <mergeCell ref="D14:L14"/>
    <mergeCell ref="E11:L11"/>
    <mergeCell ref="B7:D7"/>
    <mergeCell ref="D19:L19"/>
    <mergeCell ref="B15:C15"/>
    <mergeCell ref="E7:L7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5" customWidth="1" min="3" max="3"/>
    <col width="15" customWidth="1" min="4" max="4"/>
    <col width="24" customWidth="1" min="5" max="5"/>
    <col width="10" customWidth="1" min="6" max="6"/>
    <col width="13" customWidth="1" min="7" max="7"/>
    <col width="28" customWidth="1" min="8" max="8"/>
    <col width="16" customWidth="1" min="9" max="9"/>
    <col width="2" customWidth="1" min="10" max="10"/>
    <col width="6" customWidth="1" min="11" max="11"/>
    <col width="15" customWidth="1" min="12" max="12"/>
    <col width="15" customWidth="1" min="13" max="13"/>
    <col width="12" customWidth="1" min="14" max="14"/>
    <col width="10" customWidth="1" min="15" max="15"/>
    <col width="12" customWidth="1" min="16" max="16"/>
  </cols>
  <sheetData>
    <row r="1" ht="32" customHeight="1">
      <c r="A1" s="1" t="inlineStr">
        <is>
          <t>Volunteer Hours Tracker — Log shifts here. Engagement scores update automatically.</t>
        </is>
      </c>
      <c r="K1" s="14" t="inlineStr">
        <is>
          <t>Volunteer Summary (auto-calculated)</t>
        </is>
      </c>
    </row>
    <row r="2" ht="18" customHeight="1">
      <c r="A2" s="15" t="inlineStr">
        <is>
          <t xml:space="preserve">  HOW IT WORKS:  Enter Contact ID + Program + Hours + Date in each row. The Engagement Score sheet recalculates automatically.</t>
        </is>
      </c>
    </row>
    <row r="3" ht="22" customHeight="1">
      <c r="A3" s="3" t="inlineStr">
        <is>
          <t>V.ID</t>
        </is>
      </c>
      <c r="B3" s="3" t="inlineStr">
        <is>
          <t>First</t>
        </is>
      </c>
      <c r="C3" s="3" t="inlineStr">
        <is>
          <t>Last</t>
        </is>
      </c>
      <c r="D3" s="3" t="inlineStr">
        <is>
          <t>Total hours</t>
        </is>
      </c>
      <c r="E3" s="3" t="inlineStr">
        <is>
          <t># Shifts</t>
        </is>
      </c>
      <c r="F3" s="3" t="inlineStr">
        <is>
          <t>Engagement pts</t>
        </is>
      </c>
      <c r="G3" s="3" t="inlineStr">
        <is>
          <t>Date</t>
        </is>
      </c>
      <c r="H3" s="3" t="inlineStr">
        <is>
          <t>Notes</t>
        </is>
      </c>
      <c r="I3" s="3" t="inlineStr">
        <is>
          <t>Verified?</t>
        </is>
      </c>
      <c r="K3" s="3" t="inlineStr">
        <is>
          <t>V.ID</t>
        </is>
      </c>
      <c r="L3" s="3" t="inlineStr">
        <is>
          <t>First</t>
        </is>
      </c>
      <c r="M3" s="3" t="inlineStr">
        <is>
          <t>Last</t>
        </is>
      </c>
      <c r="N3" s="3" t="inlineStr">
        <is>
          <t>Total hours</t>
        </is>
      </c>
      <c r="O3" s="3" t="inlineStr">
        <is>
          <t># Shifts</t>
        </is>
      </c>
      <c r="P3" s="3" t="inlineStr">
        <is>
          <t>Eng. pts</t>
        </is>
      </c>
    </row>
    <row r="4" ht="17" customHeight="1">
      <c r="A4" s="5" t="n">
        <v>1</v>
      </c>
      <c r="B4" s="5" t="n">
        <v>2</v>
      </c>
      <c r="C4" s="5" t="inlineStr">
        <is>
          <t>Andrew</t>
        </is>
      </c>
      <c r="D4" s="5" t="inlineStr">
        <is>
          <t>Ortiz</t>
        </is>
      </c>
      <c r="E4" s="5" t="inlineStr">
        <is>
          <t>Food Bank</t>
        </is>
      </c>
      <c r="F4" s="16" t="n">
        <v>4.7</v>
      </c>
      <c r="G4" s="5" t="inlineStr">
        <is>
          <t>2025-06-24</t>
        </is>
      </c>
      <c r="H4" s="5" t="inlineStr">
        <is>
          <t>Great session</t>
        </is>
      </c>
      <c r="I4" s="5" t="inlineStr">
        <is>
          <t>Yes</t>
        </is>
      </c>
      <c r="K4" s="5" t="n">
        <v>2</v>
      </c>
      <c r="L4" s="5" t="inlineStr">
        <is>
          <t>Andrew</t>
        </is>
      </c>
      <c r="M4" s="5" t="inlineStr">
        <is>
          <t>Ortiz</t>
        </is>
      </c>
      <c r="N4" s="17">
        <f>IFERROR(SUMIF(B4:B189,2,F4:F189),0)</f>
        <v/>
      </c>
      <c r="O4" s="5">
        <f>IFERROR(COUNTIF(B4:B189,2),0)</f>
        <v/>
      </c>
      <c r="P4" s="18">
        <f>MIN(100,18+ROUND(N4/5,0))</f>
        <v/>
      </c>
    </row>
    <row r="5" ht="17" customHeight="1">
      <c r="A5" s="7" t="n">
        <v>2</v>
      </c>
      <c r="B5" s="7" t="n">
        <v>2</v>
      </c>
      <c r="C5" s="7" t="inlineStr">
        <is>
          <t>Andrew</t>
        </is>
      </c>
      <c r="D5" s="7" t="inlineStr">
        <is>
          <t>Ortiz</t>
        </is>
      </c>
      <c r="E5" s="7" t="inlineStr">
        <is>
          <t>Youth Literacy</t>
        </is>
      </c>
      <c r="F5" s="19" t="n">
        <v>5.2</v>
      </c>
      <c r="G5" s="7" t="inlineStr">
        <is>
          <t>2025-07-23</t>
        </is>
      </c>
      <c r="H5" s="7" t="inlineStr">
        <is>
          <t>On time, very helpful</t>
        </is>
      </c>
      <c r="I5" s="7" t="inlineStr">
        <is>
          <t>Yes</t>
        </is>
      </c>
      <c r="K5" s="7" t="n">
        <v>3</v>
      </c>
      <c r="L5" s="7" t="inlineStr">
        <is>
          <t>Paul</t>
        </is>
      </c>
      <c r="M5" s="7" t="inlineStr">
        <is>
          <t>Perez</t>
        </is>
      </c>
      <c r="N5" s="20">
        <f>IFERROR(SUMIF(B4:B189,3,F4:F189),0)</f>
        <v/>
      </c>
      <c r="O5" s="7">
        <f>IFERROR(COUNTIF(B4:B189,3),0)</f>
        <v/>
      </c>
      <c r="P5" s="21">
        <f>MIN(100,84+ROUND(N5/5,0))</f>
        <v/>
      </c>
    </row>
    <row r="6" ht="17" customHeight="1">
      <c r="A6" s="5" t="n">
        <v>3</v>
      </c>
      <c r="B6" s="5" t="n">
        <v>2</v>
      </c>
      <c r="C6" s="5" t="inlineStr">
        <is>
          <t>Andrew</t>
        </is>
      </c>
      <c r="D6" s="5" t="inlineStr">
        <is>
          <t>Ortiz</t>
        </is>
      </c>
      <c r="E6" s="5" t="inlineStr">
        <is>
          <t>Elder Care</t>
        </is>
      </c>
      <c r="F6" s="16" t="n">
        <v>7.6</v>
      </c>
      <c r="G6" s="5" t="inlineStr">
        <is>
          <t>2026-03-04</t>
        </is>
      </c>
      <c r="H6" s="5" t="inlineStr">
        <is>
          <t>Completed all tasks</t>
        </is>
      </c>
      <c r="I6" s="5" t="inlineStr">
        <is>
          <t>Yes</t>
        </is>
      </c>
      <c r="K6" s="5" t="n">
        <v>4</v>
      </c>
      <c r="L6" s="5" t="inlineStr">
        <is>
          <t>Donna</t>
        </is>
      </c>
      <c r="M6" s="5" t="inlineStr">
        <is>
          <t>Garcia</t>
        </is>
      </c>
      <c r="N6" s="17">
        <f>IFERROR(SUMIF(B4:B189,4,F4:F189),0)</f>
        <v/>
      </c>
      <c r="O6" s="5">
        <f>IFERROR(COUNTIF(B4:B189,4),0)</f>
        <v/>
      </c>
      <c r="P6" s="18">
        <f>MIN(100,35+ROUND(N6/5,0))</f>
        <v/>
      </c>
    </row>
    <row r="7" ht="17" customHeight="1">
      <c r="A7" s="7" t="n">
        <v>4</v>
      </c>
      <c r="B7" s="7" t="n">
        <v>3</v>
      </c>
      <c r="C7" s="7" t="inlineStr">
        <is>
          <t>Paul</t>
        </is>
      </c>
      <c r="D7" s="7" t="inlineStr">
        <is>
          <t>Perez</t>
        </is>
      </c>
      <c r="E7" s="7" t="inlineStr">
        <is>
          <t>After-School Tutoring</t>
        </is>
      </c>
      <c r="F7" s="19" t="n">
        <v>2.9</v>
      </c>
      <c r="G7" s="7" t="inlineStr">
        <is>
          <t>2025-07-04</t>
        </is>
      </c>
      <c r="H7" s="7" t="inlineStr">
        <is>
          <t>On time, very helpful</t>
        </is>
      </c>
      <c r="I7" s="7" t="inlineStr">
        <is>
          <t>Yes</t>
        </is>
      </c>
      <c r="K7" s="7" t="n">
        <v>5</v>
      </c>
      <c r="L7" s="7" t="inlineStr">
        <is>
          <t>David</t>
        </is>
      </c>
      <c r="M7" s="7" t="inlineStr">
        <is>
          <t>Jackson</t>
        </is>
      </c>
      <c r="N7" s="20">
        <f>IFERROR(SUMIF(B4:B189,5,F4:F189),0)</f>
        <v/>
      </c>
      <c r="O7" s="7">
        <f>IFERROR(COUNTIF(B4:B189,5),0)</f>
        <v/>
      </c>
      <c r="P7" s="21">
        <f>MIN(100,63+ROUND(N7/5,0))</f>
        <v/>
      </c>
    </row>
    <row r="8" ht="17" customHeight="1">
      <c r="A8" s="5" t="n">
        <v>5</v>
      </c>
      <c r="B8" s="5" t="n">
        <v>3</v>
      </c>
      <c r="C8" s="5" t="inlineStr">
        <is>
          <t>Paul</t>
        </is>
      </c>
      <c r="D8" s="5" t="inlineStr">
        <is>
          <t>Perez</t>
        </is>
      </c>
      <c r="E8" s="5" t="inlineStr">
        <is>
          <t>Food Bank</t>
        </is>
      </c>
      <c r="F8" s="16" t="n">
        <v>6</v>
      </c>
      <c r="G8" s="5" t="inlineStr">
        <is>
          <t>2025-06-29</t>
        </is>
      </c>
      <c r="H8" s="5" t="inlineStr">
        <is>
          <t>On time, very helpful</t>
        </is>
      </c>
      <c r="I8" s="5" t="inlineStr">
        <is>
          <t>Yes</t>
        </is>
      </c>
      <c r="K8" s="5" t="n">
        <v>6</v>
      </c>
      <c r="L8" s="5" t="inlineStr">
        <is>
          <t>George</t>
        </is>
      </c>
      <c r="M8" s="5" t="inlineStr">
        <is>
          <t>Martin</t>
        </is>
      </c>
      <c r="N8" s="17">
        <f>IFERROR(SUMIF(B4:B189,6,F4:F189),0)</f>
        <v/>
      </c>
      <c r="O8" s="5">
        <f>IFERROR(COUNTIF(B4:B189,6),0)</f>
        <v/>
      </c>
      <c r="P8" s="18">
        <f>MIN(100,83+ROUND(N8/5,0))</f>
        <v/>
      </c>
    </row>
    <row r="9" ht="17" customHeight="1">
      <c r="A9" s="7" t="n">
        <v>6</v>
      </c>
      <c r="B9" s="7" t="n">
        <v>3</v>
      </c>
      <c r="C9" s="7" t="inlineStr">
        <is>
          <t>Paul</t>
        </is>
      </c>
      <c r="D9" s="7" t="inlineStr">
        <is>
          <t>Perez</t>
        </is>
      </c>
      <c r="E9" s="7" t="inlineStr">
        <is>
          <t>Youth Literacy</t>
        </is>
      </c>
      <c r="F9" s="19" t="n">
        <v>7.6</v>
      </c>
      <c r="G9" s="7" t="inlineStr">
        <is>
          <t>2026-01-30</t>
        </is>
      </c>
      <c r="H9" s="7" t="inlineStr">
        <is>
          <t>On time, very helpful</t>
        </is>
      </c>
      <c r="I9" s="7" t="inlineStr">
        <is>
          <t>Yes</t>
        </is>
      </c>
      <c r="K9" s="7" t="n">
        <v>8</v>
      </c>
      <c r="L9" s="7" t="inlineStr">
        <is>
          <t>Jessica</t>
        </is>
      </c>
      <c r="M9" s="7" t="inlineStr">
        <is>
          <t>Martinez</t>
        </is>
      </c>
      <c r="N9" s="20">
        <f>IFERROR(SUMIF(B4:B189,8,F4:F189),0)</f>
        <v/>
      </c>
      <c r="O9" s="7">
        <f>IFERROR(COUNTIF(B4:B189,8),0)</f>
        <v/>
      </c>
      <c r="P9" s="21">
        <f>MIN(100,27+ROUND(N9/5,0))</f>
        <v/>
      </c>
    </row>
    <row r="10" ht="17" customHeight="1">
      <c r="A10" s="5" t="n">
        <v>7</v>
      </c>
      <c r="B10" s="5" t="n">
        <v>3</v>
      </c>
      <c r="C10" s="5" t="inlineStr">
        <is>
          <t>Paul</t>
        </is>
      </c>
      <c r="D10" s="5" t="inlineStr">
        <is>
          <t>Perez</t>
        </is>
      </c>
      <c r="E10" s="5" t="inlineStr">
        <is>
          <t>Youth Literacy</t>
        </is>
      </c>
      <c r="F10" s="16" t="n">
        <v>7.3</v>
      </c>
      <c r="G10" s="5" t="inlineStr">
        <is>
          <t>2025-06-29</t>
        </is>
      </c>
      <c r="H10" s="5" t="inlineStr">
        <is>
          <t>Completed all tasks</t>
        </is>
      </c>
      <c r="I10" s="5" t="inlineStr">
        <is>
          <t>Yes</t>
        </is>
      </c>
      <c r="K10" s="5" t="n">
        <v>12</v>
      </c>
      <c r="L10" s="5" t="inlineStr">
        <is>
          <t>Anthony</t>
        </is>
      </c>
      <c r="M10" s="5" t="inlineStr">
        <is>
          <t>Garcia</t>
        </is>
      </c>
      <c r="N10" s="17">
        <f>IFERROR(SUMIF(B4:B189,12,F4:F189),0)</f>
        <v/>
      </c>
      <c r="O10" s="5">
        <f>IFERROR(COUNTIF(B4:B189,12),0)</f>
        <v/>
      </c>
      <c r="P10" s="18">
        <f>MIN(100,87+ROUND(N10/5,0))</f>
        <v/>
      </c>
    </row>
    <row r="11" ht="17" customHeight="1">
      <c r="A11" s="7" t="n">
        <v>8</v>
      </c>
      <c r="B11" s="7" t="n">
        <v>3</v>
      </c>
      <c r="C11" s="7" t="inlineStr">
        <is>
          <t>Paul</t>
        </is>
      </c>
      <c r="D11" s="7" t="inlineStr">
        <is>
          <t>Perez</t>
        </is>
      </c>
      <c r="E11" s="7" t="inlineStr">
        <is>
          <t>After-School Tutoring</t>
        </is>
      </c>
      <c r="F11" s="19" t="n">
        <v>3.7</v>
      </c>
      <c r="G11" s="7" t="inlineStr">
        <is>
          <t>2025-12-22</t>
        </is>
      </c>
      <c r="H11" s="7" t="inlineStr">
        <is>
          <t>On time, very helpful</t>
        </is>
      </c>
      <c r="I11" s="7" t="inlineStr">
        <is>
          <t>Yes</t>
        </is>
      </c>
      <c r="K11" s="7" t="n">
        <v>14</v>
      </c>
      <c r="L11" s="7" t="inlineStr">
        <is>
          <t>Emily</t>
        </is>
      </c>
      <c r="M11" s="7" t="inlineStr">
        <is>
          <t>Baker</t>
        </is>
      </c>
      <c r="N11" s="20">
        <f>IFERROR(SUMIF(B4:B189,14,F4:F189),0)</f>
        <v/>
      </c>
      <c r="O11" s="7">
        <f>IFERROR(COUNTIF(B4:B189,14),0)</f>
        <v/>
      </c>
      <c r="P11" s="21">
        <f>MIN(100,69+ROUND(N11/5,0))</f>
        <v/>
      </c>
    </row>
    <row r="12" ht="17" customHeight="1">
      <c r="A12" s="5" t="n">
        <v>9</v>
      </c>
      <c r="B12" s="5" t="n">
        <v>3</v>
      </c>
      <c r="C12" s="5" t="inlineStr">
        <is>
          <t>Paul</t>
        </is>
      </c>
      <c r="D12" s="5" t="inlineStr">
        <is>
          <t>Perez</t>
        </is>
      </c>
      <c r="E12" s="5" t="inlineStr">
        <is>
          <t>Community Garden</t>
        </is>
      </c>
      <c r="F12" s="16" t="n">
        <v>6.1</v>
      </c>
      <c r="G12" s="5" t="inlineStr">
        <is>
          <t>2025-11-24</t>
        </is>
      </c>
      <c r="H12" s="5" t="inlineStr"/>
      <c r="I12" s="5" t="inlineStr">
        <is>
          <t>Yes</t>
        </is>
      </c>
      <c r="K12" s="5" t="n">
        <v>15</v>
      </c>
      <c r="L12" s="5" t="inlineStr">
        <is>
          <t>Elizabeth</t>
        </is>
      </c>
      <c r="M12" s="5" t="inlineStr">
        <is>
          <t>Green</t>
        </is>
      </c>
      <c r="N12" s="17">
        <f>IFERROR(SUMIF(B4:B189,15,F4:F189),0)</f>
        <v/>
      </c>
      <c r="O12" s="5">
        <f>IFERROR(COUNTIF(B4:B189,15),0)</f>
        <v/>
      </c>
      <c r="P12" s="18">
        <f>MIN(100,21+ROUND(N12/5,0))</f>
        <v/>
      </c>
    </row>
    <row r="13" ht="17" customHeight="1">
      <c r="A13" s="7" t="n">
        <v>10</v>
      </c>
      <c r="B13" s="7" t="n">
        <v>3</v>
      </c>
      <c r="C13" s="7" t="inlineStr">
        <is>
          <t>Paul</t>
        </is>
      </c>
      <c r="D13" s="7" t="inlineStr">
        <is>
          <t>Perez</t>
        </is>
      </c>
      <c r="E13" s="7" t="inlineStr">
        <is>
          <t>Environmental Cleanup</t>
        </is>
      </c>
      <c r="F13" s="19" t="n">
        <v>3.5</v>
      </c>
      <c r="G13" s="7" t="inlineStr">
        <is>
          <t>2026-03-13</t>
        </is>
      </c>
      <c r="H13" s="7" t="inlineStr">
        <is>
          <t>Great session</t>
        </is>
      </c>
      <c r="I13" s="7" t="inlineStr">
        <is>
          <t>Yes</t>
        </is>
      </c>
      <c r="K13" s="7" t="n">
        <v>16</v>
      </c>
      <c r="L13" s="7" t="inlineStr">
        <is>
          <t>Jennifer</t>
        </is>
      </c>
      <c r="M13" s="7" t="inlineStr">
        <is>
          <t>King</t>
        </is>
      </c>
      <c r="N13" s="20">
        <f>IFERROR(SUMIF(B4:B189,16,F4:F189),0)</f>
        <v/>
      </c>
      <c r="O13" s="7">
        <f>IFERROR(COUNTIF(B4:B189,16),0)</f>
        <v/>
      </c>
      <c r="P13" s="21">
        <f>MIN(100,63+ROUND(N13/5,0))</f>
        <v/>
      </c>
    </row>
    <row r="14" ht="17" customHeight="1">
      <c r="A14" s="5" t="n">
        <v>11</v>
      </c>
      <c r="B14" s="5" t="n">
        <v>4</v>
      </c>
      <c r="C14" s="5" t="inlineStr">
        <is>
          <t>Donna</t>
        </is>
      </c>
      <c r="D14" s="5" t="inlineStr">
        <is>
          <t>Garcia</t>
        </is>
      </c>
      <c r="E14" s="5" t="inlineStr">
        <is>
          <t>After-School Tutoring</t>
        </is>
      </c>
      <c r="F14" s="16" t="n">
        <v>2.3</v>
      </c>
      <c r="G14" s="5" t="inlineStr">
        <is>
          <t>2025-10-20</t>
        </is>
      </c>
      <c r="H14" s="5" t="inlineStr">
        <is>
          <t>Completed all tasks</t>
        </is>
      </c>
      <c r="I14" s="5" t="inlineStr">
        <is>
          <t>Yes</t>
        </is>
      </c>
      <c r="K14" s="5" t="n">
        <v>18</v>
      </c>
      <c r="L14" s="5" t="inlineStr">
        <is>
          <t>William</t>
        </is>
      </c>
      <c r="M14" s="5" t="inlineStr">
        <is>
          <t>Martinez</t>
        </is>
      </c>
      <c r="N14" s="17">
        <f>IFERROR(SUMIF(B4:B189,18,F4:F189),0)</f>
        <v/>
      </c>
      <c r="O14" s="5">
        <f>IFERROR(COUNTIF(B4:B189,18),0)</f>
        <v/>
      </c>
      <c r="P14" s="18">
        <f>MIN(100,15+ROUND(N14/5,0))</f>
        <v/>
      </c>
    </row>
    <row r="15" ht="17" customHeight="1">
      <c r="A15" s="7" t="n">
        <v>12</v>
      </c>
      <c r="B15" s="7" t="n">
        <v>4</v>
      </c>
      <c r="C15" s="7" t="inlineStr">
        <is>
          <t>Donna</t>
        </is>
      </c>
      <c r="D15" s="7" t="inlineStr">
        <is>
          <t>Garcia</t>
        </is>
      </c>
      <c r="E15" s="7" t="inlineStr">
        <is>
          <t>After-School Tutoring</t>
        </is>
      </c>
      <c r="F15" s="19" t="n">
        <v>3</v>
      </c>
      <c r="G15" s="7" t="inlineStr">
        <is>
          <t>2025-08-25</t>
        </is>
      </c>
      <c r="H15" s="7" t="inlineStr"/>
      <c r="I15" s="7" t="inlineStr">
        <is>
          <t>Yes</t>
        </is>
      </c>
      <c r="K15" s="7" t="n">
        <v>19</v>
      </c>
      <c r="L15" s="7" t="inlineStr">
        <is>
          <t>Richard</t>
        </is>
      </c>
      <c r="M15" s="7" t="inlineStr">
        <is>
          <t>Green</t>
        </is>
      </c>
      <c r="N15" s="20">
        <f>IFERROR(SUMIF(B4:B189,19,F4:F189),0)</f>
        <v/>
      </c>
      <c r="O15" s="7">
        <f>IFERROR(COUNTIF(B4:B189,19),0)</f>
        <v/>
      </c>
      <c r="P15" s="21">
        <f>MIN(100,9+ROUND(N15/5,0))</f>
        <v/>
      </c>
    </row>
    <row r="16" ht="17" customHeight="1">
      <c r="A16" s="5" t="n">
        <v>13</v>
      </c>
      <c r="B16" s="5" t="n">
        <v>4</v>
      </c>
      <c r="C16" s="5" t="inlineStr">
        <is>
          <t>Donna</t>
        </is>
      </c>
      <c r="D16" s="5" t="inlineStr">
        <is>
          <t>Garcia</t>
        </is>
      </c>
      <c r="E16" s="5" t="inlineStr">
        <is>
          <t>Job Training</t>
        </is>
      </c>
      <c r="F16" s="16" t="n">
        <v>5.4</v>
      </c>
      <c r="G16" s="5" t="inlineStr">
        <is>
          <t>2026-02-10</t>
        </is>
      </c>
      <c r="H16" s="5" t="inlineStr">
        <is>
          <t>Great session</t>
        </is>
      </c>
      <c r="I16" s="5" t="inlineStr">
        <is>
          <t>Yes</t>
        </is>
      </c>
      <c r="K16" s="5" t="n">
        <v>20</v>
      </c>
      <c r="L16" s="5" t="inlineStr">
        <is>
          <t>Jennifer</t>
        </is>
      </c>
      <c r="M16" s="5" t="inlineStr">
        <is>
          <t>Baker</t>
        </is>
      </c>
      <c r="N16" s="17">
        <f>IFERROR(SUMIF(B4:B189,20,F4:F189),0)</f>
        <v/>
      </c>
      <c r="O16" s="5">
        <f>IFERROR(COUNTIF(B4:B189,20),0)</f>
        <v/>
      </c>
      <c r="P16" s="18">
        <f>MIN(100,19+ROUND(N16/5,0))</f>
        <v/>
      </c>
    </row>
    <row r="17" ht="17" customHeight="1">
      <c r="A17" s="7" t="n">
        <v>14</v>
      </c>
      <c r="B17" s="7" t="n">
        <v>4</v>
      </c>
      <c r="C17" s="7" t="inlineStr">
        <is>
          <t>Donna</t>
        </is>
      </c>
      <c r="D17" s="7" t="inlineStr">
        <is>
          <t>Garcia</t>
        </is>
      </c>
      <c r="E17" s="7" t="inlineStr">
        <is>
          <t>Elder Care</t>
        </is>
      </c>
      <c r="F17" s="19" t="n">
        <v>5.3</v>
      </c>
      <c r="G17" s="7" t="inlineStr">
        <is>
          <t>2025-10-01</t>
        </is>
      </c>
      <c r="H17" s="7" t="inlineStr"/>
      <c r="I17" s="7" t="inlineStr">
        <is>
          <t>Yes</t>
        </is>
      </c>
      <c r="K17" s="7" t="n">
        <v>21</v>
      </c>
      <c r="L17" s="7" t="inlineStr">
        <is>
          <t>William</t>
        </is>
      </c>
      <c r="M17" s="7" t="inlineStr">
        <is>
          <t>Walker</t>
        </is>
      </c>
      <c r="N17" s="20">
        <f>IFERROR(SUMIF(B4:B189,21,F4:F189),0)</f>
        <v/>
      </c>
      <c r="O17" s="7">
        <f>IFERROR(COUNTIF(B4:B189,21),0)</f>
        <v/>
      </c>
      <c r="P17" s="21">
        <f>MIN(100,45+ROUND(N17/5,0))</f>
        <v/>
      </c>
    </row>
    <row r="18" ht="17" customHeight="1">
      <c r="A18" s="5" t="n">
        <v>15</v>
      </c>
      <c r="B18" s="5" t="n">
        <v>4</v>
      </c>
      <c r="C18" s="5" t="inlineStr">
        <is>
          <t>Donna</t>
        </is>
      </c>
      <c r="D18" s="5" t="inlineStr">
        <is>
          <t>Garcia</t>
        </is>
      </c>
      <c r="E18" s="5" t="inlineStr">
        <is>
          <t>Elder Care</t>
        </is>
      </c>
      <c r="F18" s="16" t="n">
        <v>4.6</v>
      </c>
      <c r="G18" s="5" t="inlineStr">
        <is>
          <t>2026-03-18</t>
        </is>
      </c>
      <c r="H18" s="5" t="inlineStr">
        <is>
          <t>On time, very helpful</t>
        </is>
      </c>
      <c r="I18" s="5" t="inlineStr">
        <is>
          <t>Yes</t>
        </is>
      </c>
      <c r="K18" s="5" t="n">
        <v>22</v>
      </c>
      <c r="L18" s="5" t="inlineStr">
        <is>
          <t>Dorothy</t>
        </is>
      </c>
      <c r="M18" s="5" t="inlineStr">
        <is>
          <t>Chen</t>
        </is>
      </c>
      <c r="N18" s="17">
        <f>IFERROR(SUMIF(B4:B189,22,F4:F189),0)</f>
        <v/>
      </c>
      <c r="O18" s="5">
        <f>IFERROR(COUNTIF(B4:B189,22),0)</f>
        <v/>
      </c>
      <c r="P18" s="18">
        <f>MIN(100,31+ROUND(N18/5,0))</f>
        <v/>
      </c>
    </row>
    <row r="19" ht="17" customHeight="1">
      <c r="A19" s="7" t="n">
        <v>16</v>
      </c>
      <c r="B19" s="7" t="n">
        <v>4</v>
      </c>
      <c r="C19" s="7" t="inlineStr">
        <is>
          <t>Donna</t>
        </is>
      </c>
      <c r="D19" s="7" t="inlineStr">
        <is>
          <t>Garcia</t>
        </is>
      </c>
      <c r="E19" s="7" t="inlineStr">
        <is>
          <t>Mental Health Support</t>
        </is>
      </c>
      <c r="F19" s="19" t="n">
        <v>7.4</v>
      </c>
      <c r="G19" s="7" t="inlineStr">
        <is>
          <t>2026-03-19</t>
        </is>
      </c>
      <c r="H19" s="7" t="inlineStr">
        <is>
          <t>On time, very helpful</t>
        </is>
      </c>
      <c r="I19" s="7" t="inlineStr">
        <is>
          <t>Yes</t>
        </is>
      </c>
      <c r="K19" s="7" t="n">
        <v>23</v>
      </c>
      <c r="L19" s="7" t="inlineStr">
        <is>
          <t>Sarah</t>
        </is>
      </c>
      <c r="M19" s="7" t="inlineStr">
        <is>
          <t>Adams</t>
        </is>
      </c>
      <c r="N19" s="20">
        <f>IFERROR(SUMIF(B4:B189,23,F4:F189),0)</f>
        <v/>
      </c>
      <c r="O19" s="7">
        <f>IFERROR(COUNTIF(B4:B189,23),0)</f>
        <v/>
      </c>
      <c r="P19" s="21">
        <f>MIN(100,42+ROUND(N19/5,0))</f>
        <v/>
      </c>
    </row>
    <row r="20" ht="17" customHeight="1">
      <c r="A20" s="5" t="n">
        <v>17</v>
      </c>
      <c r="B20" s="5" t="n">
        <v>4</v>
      </c>
      <c r="C20" s="5" t="inlineStr">
        <is>
          <t>Donna</t>
        </is>
      </c>
      <c r="D20" s="5" t="inlineStr">
        <is>
          <t>Garcia</t>
        </is>
      </c>
      <c r="E20" s="5" t="inlineStr">
        <is>
          <t>Community Garden</t>
        </is>
      </c>
      <c r="F20" s="16" t="n">
        <v>6.1</v>
      </c>
      <c r="G20" s="5" t="inlineStr">
        <is>
          <t>2025-05-02</t>
        </is>
      </c>
      <c r="H20" s="5" t="inlineStr">
        <is>
          <t>Great session</t>
        </is>
      </c>
      <c r="I20" s="5" t="inlineStr">
        <is>
          <t>Yes</t>
        </is>
      </c>
      <c r="K20" s="5" t="n">
        <v>24</v>
      </c>
      <c r="L20" s="5" t="inlineStr">
        <is>
          <t>Matthew</t>
        </is>
      </c>
      <c r="M20" s="5" t="inlineStr">
        <is>
          <t>Wright</t>
        </is>
      </c>
      <c r="N20" s="17">
        <f>IFERROR(SUMIF(B4:B189,24,F4:F189),0)</f>
        <v/>
      </c>
      <c r="O20" s="5">
        <f>IFERROR(COUNTIF(B4:B189,24),0)</f>
        <v/>
      </c>
      <c r="P20" s="18">
        <f>MIN(100,46+ROUND(N20/5,0))</f>
        <v/>
      </c>
    </row>
    <row r="21" ht="17" customHeight="1">
      <c r="A21" s="7" t="n">
        <v>18</v>
      </c>
      <c r="B21" s="7" t="n">
        <v>4</v>
      </c>
      <c r="C21" s="7" t="inlineStr">
        <is>
          <t>Donna</t>
        </is>
      </c>
      <c r="D21" s="7" t="inlineStr">
        <is>
          <t>Garcia</t>
        </is>
      </c>
      <c r="E21" s="7" t="inlineStr">
        <is>
          <t>Mental Health Support</t>
        </is>
      </c>
      <c r="F21" s="19" t="n">
        <v>6.7</v>
      </c>
      <c r="G21" s="7" t="inlineStr">
        <is>
          <t>2025-09-12</t>
        </is>
      </c>
      <c r="H21" s="7" t="inlineStr"/>
      <c r="I21" s="7" t="inlineStr">
        <is>
          <t>Yes</t>
        </is>
      </c>
      <c r="K21" s="7" t="n">
        <v>25</v>
      </c>
      <c r="L21" s="7" t="inlineStr">
        <is>
          <t>James</t>
        </is>
      </c>
      <c r="M21" s="7" t="inlineStr">
        <is>
          <t>Mitchell</t>
        </is>
      </c>
      <c r="N21" s="20">
        <f>IFERROR(SUMIF(B4:B189,25,F4:F189),0)</f>
        <v/>
      </c>
      <c r="O21" s="7">
        <f>IFERROR(COUNTIF(B4:B189,25),0)</f>
        <v/>
      </c>
      <c r="P21" s="21">
        <f>MIN(100,43+ROUND(N21/5,0))</f>
        <v/>
      </c>
    </row>
    <row r="22" ht="17" customHeight="1">
      <c r="A22" s="5" t="n">
        <v>19</v>
      </c>
      <c r="B22" s="5" t="n">
        <v>5</v>
      </c>
      <c r="C22" s="5" t="inlineStr">
        <is>
          <t>David</t>
        </is>
      </c>
      <c r="D22" s="5" t="inlineStr">
        <is>
          <t>Jackson</t>
        </is>
      </c>
      <c r="E22" s="5" t="inlineStr">
        <is>
          <t>Community Garden</t>
        </is>
      </c>
      <c r="F22" s="16" t="n">
        <v>7.2</v>
      </c>
      <c r="G22" s="5" t="inlineStr">
        <is>
          <t>2026-01-08</t>
        </is>
      </c>
      <c r="H22" s="5" t="inlineStr">
        <is>
          <t>Ran extra 30 min</t>
        </is>
      </c>
      <c r="I22" s="5" t="inlineStr">
        <is>
          <t>Yes</t>
        </is>
      </c>
      <c r="K22" s="5" t="n">
        <v>26</v>
      </c>
      <c r="L22" s="5" t="inlineStr">
        <is>
          <t>Robert</t>
        </is>
      </c>
      <c r="M22" s="5" t="inlineStr">
        <is>
          <t>White</t>
        </is>
      </c>
      <c r="N22" s="17">
        <f>IFERROR(SUMIF(B4:B189,26,F4:F189),0)</f>
        <v/>
      </c>
      <c r="O22" s="5">
        <f>IFERROR(COUNTIF(B4:B189,26),0)</f>
        <v/>
      </c>
      <c r="P22" s="18">
        <f>MIN(100,27+ROUND(N22/5,0))</f>
        <v/>
      </c>
    </row>
    <row r="23" ht="17" customHeight="1">
      <c r="A23" s="7" t="n">
        <v>20</v>
      </c>
      <c r="B23" s="7" t="n">
        <v>5</v>
      </c>
      <c r="C23" s="7" t="inlineStr">
        <is>
          <t>David</t>
        </is>
      </c>
      <c r="D23" s="7" t="inlineStr">
        <is>
          <t>Jackson</t>
        </is>
      </c>
      <c r="E23" s="7" t="inlineStr">
        <is>
          <t>Food Bank</t>
        </is>
      </c>
      <c r="F23" s="19" t="n">
        <v>3.1</v>
      </c>
      <c r="G23" s="7" t="inlineStr">
        <is>
          <t>2025-10-20</t>
        </is>
      </c>
      <c r="H23" s="7" t="inlineStr">
        <is>
          <t>Ran extra 30 min</t>
        </is>
      </c>
      <c r="I23" s="7" t="inlineStr">
        <is>
          <t>Yes</t>
        </is>
      </c>
      <c r="K23" s="7" t="n">
        <v>28</v>
      </c>
      <c r="L23" s="7" t="inlineStr">
        <is>
          <t>Steven</t>
        </is>
      </c>
      <c r="M23" s="7" t="inlineStr">
        <is>
          <t>Harris</t>
        </is>
      </c>
      <c r="N23" s="20">
        <f>IFERROR(SUMIF(B4:B189,28,F4:F189),0)</f>
        <v/>
      </c>
      <c r="O23" s="7">
        <f>IFERROR(COUNTIF(B4:B189,28),0)</f>
        <v/>
      </c>
      <c r="P23" s="21">
        <f>MIN(100,39+ROUND(N23/5,0))</f>
        <v/>
      </c>
    </row>
    <row r="24" ht="17" customHeight="1">
      <c r="A24" s="5" t="n">
        <v>21</v>
      </c>
      <c r="B24" s="5" t="n">
        <v>5</v>
      </c>
      <c r="C24" s="5" t="inlineStr">
        <is>
          <t>David</t>
        </is>
      </c>
      <c r="D24" s="5" t="inlineStr">
        <is>
          <t>Jackson</t>
        </is>
      </c>
      <c r="E24" s="5" t="inlineStr">
        <is>
          <t>Community Garden</t>
        </is>
      </c>
      <c r="F24" s="16" t="n">
        <v>3.6</v>
      </c>
      <c r="G24" s="5" t="inlineStr">
        <is>
          <t>2025-04-14</t>
        </is>
      </c>
      <c r="H24" s="5" t="inlineStr">
        <is>
          <t>Great session</t>
        </is>
      </c>
      <c r="I24" s="5" t="inlineStr">
        <is>
          <t>Yes</t>
        </is>
      </c>
      <c r="K24" s="5" t="n">
        <v>29</v>
      </c>
      <c r="L24" s="5" t="inlineStr">
        <is>
          <t>Sandra</t>
        </is>
      </c>
      <c r="M24" s="5" t="inlineStr">
        <is>
          <t>Lewis</t>
        </is>
      </c>
      <c r="N24" s="17">
        <f>IFERROR(SUMIF(B4:B189,29,F4:F189),0)</f>
        <v/>
      </c>
      <c r="O24" s="5">
        <f>IFERROR(COUNTIF(B4:B189,29),0)</f>
        <v/>
      </c>
      <c r="P24" s="18">
        <f>MIN(100,21+ROUND(N24/5,0))</f>
        <v/>
      </c>
    </row>
    <row r="25" ht="17" customHeight="1">
      <c r="A25" s="7" t="n">
        <v>22</v>
      </c>
      <c r="B25" s="7" t="n">
        <v>5</v>
      </c>
      <c r="C25" s="7" t="inlineStr">
        <is>
          <t>David</t>
        </is>
      </c>
      <c r="D25" s="7" t="inlineStr">
        <is>
          <t>Jackson</t>
        </is>
      </c>
      <c r="E25" s="7" t="inlineStr">
        <is>
          <t>Job Training</t>
        </is>
      </c>
      <c r="F25" s="19" t="n">
        <v>7.2</v>
      </c>
      <c r="G25" s="7" t="inlineStr">
        <is>
          <t>2025-08-11</t>
        </is>
      </c>
      <c r="H25" s="7" t="inlineStr">
        <is>
          <t>Completed all tasks</t>
        </is>
      </c>
      <c r="I25" s="7" t="inlineStr">
        <is>
          <t>Yes</t>
        </is>
      </c>
      <c r="K25" s="7" t="n">
        <v>31</v>
      </c>
      <c r="L25" s="7" t="inlineStr">
        <is>
          <t>Richard</t>
        </is>
      </c>
      <c r="M25" s="7" t="inlineStr">
        <is>
          <t>Garcia</t>
        </is>
      </c>
      <c r="N25" s="20">
        <f>IFERROR(SUMIF(B4:B189,31,F4:F189),0)</f>
        <v/>
      </c>
      <c r="O25" s="7">
        <f>IFERROR(COUNTIF(B4:B189,31),0)</f>
        <v/>
      </c>
      <c r="P25" s="21">
        <f>MIN(100,24+ROUND(N25/5,0))</f>
        <v/>
      </c>
    </row>
    <row r="26" ht="17" customHeight="1">
      <c r="A26" s="5" t="n">
        <v>23</v>
      </c>
      <c r="B26" s="5" t="n">
        <v>6</v>
      </c>
      <c r="C26" s="5" t="inlineStr">
        <is>
          <t>George</t>
        </is>
      </c>
      <c r="D26" s="5" t="inlineStr">
        <is>
          <t>Martin</t>
        </is>
      </c>
      <c r="E26" s="5" t="inlineStr">
        <is>
          <t>Environmental Cleanup</t>
        </is>
      </c>
      <c r="F26" s="16" t="n">
        <v>4.1</v>
      </c>
      <c r="G26" s="5" t="inlineStr">
        <is>
          <t>2025-12-13</t>
        </is>
      </c>
      <c r="H26" s="5" t="inlineStr">
        <is>
          <t>Completed all tasks</t>
        </is>
      </c>
      <c r="I26" s="5" t="inlineStr">
        <is>
          <t>Yes</t>
        </is>
      </c>
      <c r="K26" s="5" t="n">
        <v>32</v>
      </c>
      <c r="L26" s="5" t="inlineStr">
        <is>
          <t>Robert</t>
        </is>
      </c>
      <c r="M26" s="5" t="inlineStr">
        <is>
          <t>Baker</t>
        </is>
      </c>
      <c r="N26" s="17">
        <f>IFERROR(SUMIF(B4:B189,32,F4:F189),0)</f>
        <v/>
      </c>
      <c r="O26" s="5">
        <f>IFERROR(COUNTIF(B4:B189,32),0)</f>
        <v/>
      </c>
      <c r="P26" s="18">
        <f>MIN(100,29+ROUND(N26/5,0))</f>
        <v/>
      </c>
    </row>
    <row r="27" ht="17" customHeight="1">
      <c r="A27" s="7" t="n">
        <v>24</v>
      </c>
      <c r="B27" s="7" t="n">
        <v>6</v>
      </c>
      <c r="C27" s="7" t="inlineStr">
        <is>
          <t>George</t>
        </is>
      </c>
      <c r="D27" s="7" t="inlineStr">
        <is>
          <t>Martin</t>
        </is>
      </c>
      <c r="E27" s="7" t="inlineStr">
        <is>
          <t>Food Bank</t>
        </is>
      </c>
      <c r="F27" s="19" t="n">
        <v>6</v>
      </c>
      <c r="G27" s="7" t="inlineStr">
        <is>
          <t>2025-09-16</t>
        </is>
      </c>
      <c r="H27" s="7" t="inlineStr">
        <is>
          <t>On time, very helpful</t>
        </is>
      </c>
      <c r="I27" s="7" t="inlineStr">
        <is>
          <t>Yes</t>
        </is>
      </c>
      <c r="K27" s="7" t="n">
        <v>34</v>
      </c>
      <c r="L27" s="7" t="inlineStr">
        <is>
          <t>Maria</t>
        </is>
      </c>
      <c r="M27" s="7" t="inlineStr">
        <is>
          <t>Hall</t>
        </is>
      </c>
      <c r="N27" s="20">
        <f>IFERROR(SUMIF(B4:B189,34,F4:F189),0)</f>
        <v/>
      </c>
      <c r="O27" s="7">
        <f>IFERROR(COUNTIF(B4:B189,34),0)</f>
        <v/>
      </c>
      <c r="P27" s="21">
        <f>MIN(100,25+ROUND(N27/5,0))</f>
        <v/>
      </c>
    </row>
    <row r="28" ht="17" customHeight="1">
      <c r="A28" s="5" t="n">
        <v>25</v>
      </c>
      <c r="B28" s="5" t="n">
        <v>6</v>
      </c>
      <c r="C28" s="5" t="inlineStr">
        <is>
          <t>George</t>
        </is>
      </c>
      <c r="D28" s="5" t="inlineStr">
        <is>
          <t>Martin</t>
        </is>
      </c>
      <c r="E28" s="5" t="inlineStr">
        <is>
          <t>After-School Tutoring</t>
        </is>
      </c>
      <c r="F28" s="16" t="n">
        <v>7.2</v>
      </c>
      <c r="G28" s="5" t="inlineStr">
        <is>
          <t>2025-11-17</t>
        </is>
      </c>
      <c r="H28" s="5" t="inlineStr">
        <is>
          <t>On time, very helpful</t>
        </is>
      </c>
      <c r="I28" s="5" t="inlineStr">
        <is>
          <t>Yes</t>
        </is>
      </c>
      <c r="K28" s="5" t="n">
        <v>37</v>
      </c>
      <c r="L28" s="5" t="inlineStr">
        <is>
          <t>Jennifer</t>
        </is>
      </c>
      <c r="M28" s="5" t="inlineStr">
        <is>
          <t>Kim</t>
        </is>
      </c>
      <c r="N28" s="17">
        <f>IFERROR(SUMIF(B4:B189,37,F4:F189),0)</f>
        <v/>
      </c>
      <c r="O28" s="5">
        <f>IFERROR(COUNTIF(B4:B189,37),0)</f>
        <v/>
      </c>
      <c r="P28" s="18">
        <f>MIN(100,38+ROUND(N28/5,0))</f>
        <v/>
      </c>
    </row>
    <row r="29" ht="17" customHeight="1">
      <c r="A29" s="7" t="n">
        <v>26</v>
      </c>
      <c r="B29" s="7" t="n">
        <v>6</v>
      </c>
      <c r="C29" s="7" t="inlineStr">
        <is>
          <t>George</t>
        </is>
      </c>
      <c r="D29" s="7" t="inlineStr">
        <is>
          <t>Martin</t>
        </is>
      </c>
      <c r="E29" s="7" t="inlineStr">
        <is>
          <t>Job Training</t>
        </is>
      </c>
      <c r="F29" s="19" t="n">
        <v>6.1</v>
      </c>
      <c r="G29" s="7" t="inlineStr">
        <is>
          <t>2025-07-08</t>
        </is>
      </c>
      <c r="H29" s="7" t="inlineStr">
        <is>
          <t>On time, very helpful</t>
        </is>
      </c>
      <c r="I29" s="7" t="inlineStr">
        <is>
          <t>Yes</t>
        </is>
      </c>
      <c r="K29" s="7" t="n">
        <v>38</v>
      </c>
      <c r="L29" s="7" t="inlineStr">
        <is>
          <t>Thomas</t>
        </is>
      </c>
      <c r="M29" s="7" t="inlineStr">
        <is>
          <t>Allen</t>
        </is>
      </c>
      <c r="N29" s="20">
        <f>IFERROR(SUMIF(B4:B189,38,F4:F189),0)</f>
        <v/>
      </c>
      <c r="O29" s="7">
        <f>IFERROR(COUNTIF(B4:B189,38),0)</f>
        <v/>
      </c>
      <c r="P29" s="21">
        <f>MIN(100,18+ROUND(N29/5,0))</f>
        <v/>
      </c>
    </row>
    <row r="30" ht="17" customHeight="1">
      <c r="A30" s="5" t="n">
        <v>27</v>
      </c>
      <c r="B30" s="5" t="n">
        <v>6</v>
      </c>
      <c r="C30" s="5" t="inlineStr">
        <is>
          <t>George</t>
        </is>
      </c>
      <c r="D30" s="5" t="inlineStr">
        <is>
          <t>Martin</t>
        </is>
      </c>
      <c r="E30" s="5" t="inlineStr">
        <is>
          <t>Food Bank</t>
        </is>
      </c>
      <c r="F30" s="16" t="n">
        <v>2.7</v>
      </c>
      <c r="G30" s="5" t="inlineStr">
        <is>
          <t>2025-11-26</t>
        </is>
      </c>
      <c r="H30" s="5" t="inlineStr">
        <is>
          <t>Completed all tasks</t>
        </is>
      </c>
      <c r="I30" s="5" t="inlineStr">
        <is>
          <t>Yes</t>
        </is>
      </c>
      <c r="K30" s="5" t="n">
        <v>39</v>
      </c>
      <c r="L30" s="5" t="inlineStr">
        <is>
          <t>Patricia</t>
        </is>
      </c>
      <c r="M30" s="5" t="inlineStr">
        <is>
          <t>Roberts</t>
        </is>
      </c>
      <c r="N30" s="17">
        <f>IFERROR(SUMIF(B4:B189,39,F4:F189),0)</f>
        <v/>
      </c>
      <c r="O30" s="5">
        <f>IFERROR(COUNTIF(B4:B189,39),0)</f>
        <v/>
      </c>
      <c r="P30" s="18">
        <f>MIN(100,89+ROUND(N30/5,0))</f>
        <v/>
      </c>
    </row>
    <row r="31" ht="17" customHeight="1">
      <c r="A31" s="7" t="n">
        <v>28</v>
      </c>
      <c r="B31" s="7" t="n">
        <v>8</v>
      </c>
      <c r="C31" s="7" t="inlineStr">
        <is>
          <t>Jessica</t>
        </is>
      </c>
      <c r="D31" s="7" t="inlineStr">
        <is>
          <t>Martinez</t>
        </is>
      </c>
      <c r="E31" s="7" t="inlineStr">
        <is>
          <t>Food Bank</t>
        </is>
      </c>
      <c r="F31" s="19" t="n">
        <v>2.7</v>
      </c>
      <c r="G31" s="7" t="inlineStr">
        <is>
          <t>2025-08-29</t>
        </is>
      </c>
      <c r="H31" s="7" t="inlineStr">
        <is>
          <t>On time, very helpful</t>
        </is>
      </c>
      <c r="I31" s="7" t="inlineStr">
        <is>
          <t>Yes</t>
        </is>
      </c>
      <c r="K31" s="7" t="n">
        <v>40</v>
      </c>
      <c r="L31" s="7" t="inlineStr">
        <is>
          <t>Lisa</t>
        </is>
      </c>
      <c r="M31" s="7" t="inlineStr">
        <is>
          <t>Harris</t>
        </is>
      </c>
      <c r="N31" s="20">
        <f>IFERROR(SUMIF(B4:B189,40,F4:F189),0)</f>
        <v/>
      </c>
      <c r="O31" s="7">
        <f>IFERROR(COUNTIF(B4:B189,40),0)</f>
        <v/>
      </c>
      <c r="P31" s="21">
        <f>MIN(100,53+ROUND(N31/5,0))</f>
        <v/>
      </c>
    </row>
    <row r="32" ht="17" customHeight="1">
      <c r="A32" s="5" t="n">
        <v>29</v>
      </c>
      <c r="B32" s="5" t="n">
        <v>8</v>
      </c>
      <c r="C32" s="5" t="inlineStr">
        <is>
          <t>Jessica</t>
        </is>
      </c>
      <c r="D32" s="5" t="inlineStr">
        <is>
          <t>Martinez</t>
        </is>
      </c>
      <c r="E32" s="5" t="inlineStr">
        <is>
          <t>Mental Health Support</t>
        </is>
      </c>
      <c r="F32" s="16" t="n">
        <v>4.6</v>
      </c>
      <c r="G32" s="5" t="inlineStr">
        <is>
          <t>2025-07-21</t>
        </is>
      </c>
      <c r="H32" s="5" t="inlineStr">
        <is>
          <t>Great session</t>
        </is>
      </c>
      <c r="I32" s="5" t="inlineStr">
        <is>
          <t>Yes</t>
        </is>
      </c>
    </row>
    <row r="33" ht="17" customHeight="1">
      <c r="A33" s="7" t="n">
        <v>30</v>
      </c>
      <c r="B33" s="7" t="n">
        <v>8</v>
      </c>
      <c r="C33" s="7" t="inlineStr">
        <is>
          <t>Jessica</t>
        </is>
      </c>
      <c r="D33" s="7" t="inlineStr">
        <is>
          <t>Martinez</t>
        </is>
      </c>
      <c r="E33" s="7" t="inlineStr">
        <is>
          <t>Job Training</t>
        </is>
      </c>
      <c r="F33" s="19" t="n">
        <v>7.4</v>
      </c>
      <c r="G33" s="7" t="inlineStr">
        <is>
          <t>2026-01-01</t>
        </is>
      </c>
      <c r="H33" s="7" t="inlineStr">
        <is>
          <t>On time, very helpful</t>
        </is>
      </c>
      <c r="I33" s="7" t="inlineStr">
        <is>
          <t>Yes</t>
        </is>
      </c>
    </row>
    <row r="34" ht="17" customHeight="1">
      <c r="A34" s="5" t="n">
        <v>31</v>
      </c>
      <c r="B34" s="5" t="n">
        <v>8</v>
      </c>
      <c r="C34" s="5" t="inlineStr">
        <is>
          <t>Jessica</t>
        </is>
      </c>
      <c r="D34" s="5" t="inlineStr">
        <is>
          <t>Martinez</t>
        </is>
      </c>
      <c r="E34" s="5" t="inlineStr">
        <is>
          <t>Food Bank</t>
        </is>
      </c>
      <c r="F34" s="16" t="n">
        <v>6.3</v>
      </c>
      <c r="G34" s="5" t="inlineStr">
        <is>
          <t>2026-04-08</t>
        </is>
      </c>
      <c r="H34" s="5" t="inlineStr"/>
      <c r="I34" s="5" t="inlineStr">
        <is>
          <t>Yes</t>
        </is>
      </c>
    </row>
    <row r="35" ht="17" customHeight="1">
      <c r="A35" s="7" t="n">
        <v>32</v>
      </c>
      <c r="B35" s="7" t="n">
        <v>8</v>
      </c>
      <c r="C35" s="7" t="inlineStr">
        <is>
          <t>Jessica</t>
        </is>
      </c>
      <c r="D35" s="7" t="inlineStr">
        <is>
          <t>Martinez</t>
        </is>
      </c>
      <c r="E35" s="7" t="inlineStr">
        <is>
          <t>Community Garden</t>
        </is>
      </c>
      <c r="F35" s="19" t="n">
        <v>4.2</v>
      </c>
      <c r="G35" s="7" t="inlineStr">
        <is>
          <t>2026-03-04</t>
        </is>
      </c>
      <c r="H35" s="7" t="inlineStr">
        <is>
          <t>On time, very helpful</t>
        </is>
      </c>
      <c r="I35" s="7" t="inlineStr">
        <is>
          <t>Yes</t>
        </is>
      </c>
    </row>
    <row r="36" ht="17" customHeight="1">
      <c r="A36" s="5" t="n">
        <v>33</v>
      </c>
      <c r="B36" s="5" t="n">
        <v>8</v>
      </c>
      <c r="C36" s="5" t="inlineStr">
        <is>
          <t>Jessica</t>
        </is>
      </c>
      <c r="D36" s="5" t="inlineStr">
        <is>
          <t>Martinez</t>
        </is>
      </c>
      <c r="E36" s="5" t="inlineStr">
        <is>
          <t>Mental Health Support</t>
        </is>
      </c>
      <c r="F36" s="16" t="n">
        <v>6</v>
      </c>
      <c r="G36" s="5" t="inlineStr">
        <is>
          <t>2026-02-04</t>
        </is>
      </c>
      <c r="H36" s="5" t="inlineStr">
        <is>
          <t>On time, very helpful</t>
        </is>
      </c>
      <c r="I36" s="5" t="inlineStr">
        <is>
          <t>Yes</t>
        </is>
      </c>
    </row>
    <row r="37" ht="17" customHeight="1">
      <c r="A37" s="7" t="n">
        <v>34</v>
      </c>
      <c r="B37" s="7" t="n">
        <v>12</v>
      </c>
      <c r="C37" s="7" t="inlineStr">
        <is>
          <t>Anthony</t>
        </is>
      </c>
      <c r="D37" s="7" t="inlineStr">
        <is>
          <t>Garcia</t>
        </is>
      </c>
      <c r="E37" s="7" t="inlineStr">
        <is>
          <t>After-School Tutoring</t>
        </is>
      </c>
      <c r="F37" s="19" t="n">
        <v>6</v>
      </c>
      <c r="G37" s="7" t="inlineStr">
        <is>
          <t>2025-10-23</t>
        </is>
      </c>
      <c r="H37" s="7" t="inlineStr">
        <is>
          <t>Ran extra 30 min</t>
        </is>
      </c>
      <c r="I37" s="7" t="inlineStr">
        <is>
          <t>Yes</t>
        </is>
      </c>
    </row>
    <row r="38" ht="17" customHeight="1">
      <c r="A38" s="5" t="n">
        <v>35</v>
      </c>
      <c r="B38" s="5" t="n">
        <v>12</v>
      </c>
      <c r="C38" s="5" t="inlineStr">
        <is>
          <t>Anthony</t>
        </is>
      </c>
      <c r="D38" s="5" t="inlineStr">
        <is>
          <t>Garcia</t>
        </is>
      </c>
      <c r="E38" s="5" t="inlineStr">
        <is>
          <t>After-School Tutoring</t>
        </is>
      </c>
      <c r="F38" s="16" t="n">
        <v>5.3</v>
      </c>
      <c r="G38" s="5" t="inlineStr">
        <is>
          <t>2025-12-31</t>
        </is>
      </c>
      <c r="H38" s="5" t="inlineStr">
        <is>
          <t>Ran extra 30 min</t>
        </is>
      </c>
      <c r="I38" s="5" t="inlineStr">
        <is>
          <t>Yes</t>
        </is>
      </c>
    </row>
    <row r="39" ht="17" customHeight="1">
      <c r="A39" s="7" t="n">
        <v>36</v>
      </c>
      <c r="B39" s="7" t="n">
        <v>12</v>
      </c>
      <c r="C39" s="7" t="inlineStr">
        <is>
          <t>Anthony</t>
        </is>
      </c>
      <c r="D39" s="7" t="inlineStr">
        <is>
          <t>Garcia</t>
        </is>
      </c>
      <c r="E39" s="7" t="inlineStr">
        <is>
          <t>Job Training</t>
        </is>
      </c>
      <c r="F39" s="19" t="n">
        <v>6.1</v>
      </c>
      <c r="G39" s="7" t="inlineStr">
        <is>
          <t>2026-01-09</t>
        </is>
      </c>
      <c r="H39" s="7" t="inlineStr"/>
      <c r="I39" s="7" t="inlineStr">
        <is>
          <t>Yes</t>
        </is>
      </c>
    </row>
    <row r="40" ht="17" customHeight="1">
      <c r="A40" s="5" t="n">
        <v>37</v>
      </c>
      <c r="B40" s="5" t="n">
        <v>12</v>
      </c>
      <c r="C40" s="5" t="inlineStr">
        <is>
          <t>Anthony</t>
        </is>
      </c>
      <c r="D40" s="5" t="inlineStr">
        <is>
          <t>Garcia</t>
        </is>
      </c>
      <c r="E40" s="5" t="inlineStr">
        <is>
          <t>After-School Tutoring</t>
        </is>
      </c>
      <c r="F40" s="16" t="n">
        <v>4.4</v>
      </c>
      <c r="G40" s="5" t="inlineStr">
        <is>
          <t>2026-04-08</t>
        </is>
      </c>
      <c r="H40" s="5" t="inlineStr">
        <is>
          <t>On time, very helpful</t>
        </is>
      </c>
      <c r="I40" s="5" t="inlineStr">
        <is>
          <t>Yes</t>
        </is>
      </c>
    </row>
    <row r="41" ht="17" customHeight="1">
      <c r="A41" s="7" t="n">
        <v>38</v>
      </c>
      <c r="B41" s="7" t="n">
        <v>12</v>
      </c>
      <c r="C41" s="7" t="inlineStr">
        <is>
          <t>Anthony</t>
        </is>
      </c>
      <c r="D41" s="7" t="inlineStr">
        <is>
          <t>Garcia</t>
        </is>
      </c>
      <c r="E41" s="7" t="inlineStr">
        <is>
          <t>After-School Tutoring</t>
        </is>
      </c>
      <c r="F41" s="19" t="n">
        <v>3.3</v>
      </c>
      <c r="G41" s="7" t="inlineStr">
        <is>
          <t>2025-06-16</t>
        </is>
      </c>
      <c r="H41" s="7" t="inlineStr"/>
      <c r="I41" s="7" t="inlineStr">
        <is>
          <t>Yes</t>
        </is>
      </c>
    </row>
    <row r="42" ht="17" customHeight="1">
      <c r="A42" s="5" t="n">
        <v>39</v>
      </c>
      <c r="B42" s="5" t="n">
        <v>12</v>
      </c>
      <c r="C42" s="5" t="inlineStr">
        <is>
          <t>Anthony</t>
        </is>
      </c>
      <c r="D42" s="5" t="inlineStr">
        <is>
          <t>Garcia</t>
        </is>
      </c>
      <c r="E42" s="5" t="inlineStr">
        <is>
          <t>Mental Health Support</t>
        </is>
      </c>
      <c r="F42" s="16" t="n">
        <v>4.8</v>
      </c>
      <c r="G42" s="5" t="inlineStr">
        <is>
          <t>2025-08-25</t>
        </is>
      </c>
      <c r="H42" s="5" t="inlineStr">
        <is>
          <t>Completed all tasks</t>
        </is>
      </c>
      <c r="I42" s="5" t="inlineStr">
        <is>
          <t>Yes</t>
        </is>
      </c>
    </row>
    <row r="43" ht="17" customHeight="1">
      <c r="A43" s="7" t="n">
        <v>40</v>
      </c>
      <c r="B43" s="7" t="n">
        <v>12</v>
      </c>
      <c r="C43" s="7" t="inlineStr">
        <is>
          <t>Anthony</t>
        </is>
      </c>
      <c r="D43" s="7" t="inlineStr">
        <is>
          <t>Garcia</t>
        </is>
      </c>
      <c r="E43" s="7" t="inlineStr">
        <is>
          <t>Environmental Cleanup</t>
        </is>
      </c>
      <c r="F43" s="19" t="n">
        <v>6.8</v>
      </c>
      <c r="G43" s="7" t="inlineStr">
        <is>
          <t>2026-01-12</t>
        </is>
      </c>
      <c r="H43" s="7" t="inlineStr">
        <is>
          <t>Great session</t>
        </is>
      </c>
      <c r="I43" s="7" t="inlineStr">
        <is>
          <t>Yes</t>
        </is>
      </c>
    </row>
    <row r="44" ht="17" customHeight="1">
      <c r="A44" s="5" t="n">
        <v>41</v>
      </c>
      <c r="B44" s="5" t="n">
        <v>12</v>
      </c>
      <c r="C44" s="5" t="inlineStr">
        <is>
          <t>Anthony</t>
        </is>
      </c>
      <c r="D44" s="5" t="inlineStr">
        <is>
          <t>Garcia</t>
        </is>
      </c>
      <c r="E44" s="5" t="inlineStr">
        <is>
          <t>After-School Tutoring</t>
        </is>
      </c>
      <c r="F44" s="16" t="n">
        <v>5.1</v>
      </c>
      <c r="G44" s="5" t="inlineStr">
        <is>
          <t>2025-05-19</t>
        </is>
      </c>
      <c r="H44" s="5" t="inlineStr"/>
      <c r="I44" s="5" t="inlineStr">
        <is>
          <t>Yes</t>
        </is>
      </c>
    </row>
    <row r="45" ht="17" customHeight="1">
      <c r="A45" s="7" t="n">
        <v>42</v>
      </c>
      <c r="B45" s="7" t="n">
        <v>12</v>
      </c>
      <c r="C45" s="7" t="inlineStr">
        <is>
          <t>Anthony</t>
        </is>
      </c>
      <c r="D45" s="7" t="inlineStr">
        <is>
          <t>Garcia</t>
        </is>
      </c>
      <c r="E45" s="7" t="inlineStr">
        <is>
          <t>Mental Health Support</t>
        </is>
      </c>
      <c r="F45" s="19" t="n">
        <v>2.6</v>
      </c>
      <c r="G45" s="7" t="inlineStr">
        <is>
          <t>2025-12-09</t>
        </is>
      </c>
      <c r="H45" s="7" t="inlineStr">
        <is>
          <t>On time, very helpful</t>
        </is>
      </c>
      <c r="I45" s="7" t="inlineStr">
        <is>
          <t>Yes</t>
        </is>
      </c>
    </row>
    <row r="46" ht="17" customHeight="1">
      <c r="A46" s="5" t="n">
        <v>43</v>
      </c>
      <c r="B46" s="5" t="n">
        <v>12</v>
      </c>
      <c r="C46" s="5" t="inlineStr">
        <is>
          <t>Anthony</t>
        </is>
      </c>
      <c r="D46" s="5" t="inlineStr">
        <is>
          <t>Garcia</t>
        </is>
      </c>
      <c r="E46" s="5" t="inlineStr">
        <is>
          <t>Community Garden</t>
        </is>
      </c>
      <c r="F46" s="16" t="n">
        <v>6.8</v>
      </c>
      <c r="G46" s="5" t="inlineStr">
        <is>
          <t>2026-01-23</t>
        </is>
      </c>
      <c r="H46" s="5" t="inlineStr">
        <is>
          <t>Great session</t>
        </is>
      </c>
      <c r="I46" s="5" t="inlineStr">
        <is>
          <t>Yes</t>
        </is>
      </c>
    </row>
    <row r="47" ht="17" customHeight="1">
      <c r="A47" s="7" t="n">
        <v>44</v>
      </c>
      <c r="B47" s="7" t="n">
        <v>14</v>
      </c>
      <c r="C47" s="7" t="inlineStr">
        <is>
          <t>Emily</t>
        </is>
      </c>
      <c r="D47" s="7" t="inlineStr">
        <is>
          <t>Baker</t>
        </is>
      </c>
      <c r="E47" s="7" t="inlineStr">
        <is>
          <t>Community Garden</t>
        </is>
      </c>
      <c r="F47" s="19" t="n">
        <v>7.9</v>
      </c>
      <c r="G47" s="7" t="inlineStr">
        <is>
          <t>2025-05-31</t>
        </is>
      </c>
      <c r="H47" s="7" t="inlineStr">
        <is>
          <t>Great session</t>
        </is>
      </c>
      <c r="I47" s="7" t="inlineStr">
        <is>
          <t>Yes</t>
        </is>
      </c>
    </row>
    <row r="48" ht="17" customHeight="1">
      <c r="A48" s="5" t="n">
        <v>45</v>
      </c>
      <c r="B48" s="5" t="n">
        <v>14</v>
      </c>
      <c r="C48" s="5" t="inlineStr">
        <is>
          <t>Emily</t>
        </is>
      </c>
      <c r="D48" s="5" t="inlineStr">
        <is>
          <t>Baker</t>
        </is>
      </c>
      <c r="E48" s="5" t="inlineStr">
        <is>
          <t>Environmental Cleanup</t>
        </is>
      </c>
      <c r="F48" s="16" t="n">
        <v>4.5</v>
      </c>
      <c r="G48" s="5" t="inlineStr">
        <is>
          <t>2025-05-21</t>
        </is>
      </c>
      <c r="H48" s="5" t="inlineStr"/>
      <c r="I48" s="5" t="inlineStr">
        <is>
          <t>Yes</t>
        </is>
      </c>
    </row>
    <row r="49" ht="17" customHeight="1">
      <c r="A49" s="7" t="n">
        <v>46</v>
      </c>
      <c r="B49" s="7" t="n">
        <v>15</v>
      </c>
      <c r="C49" s="7" t="inlineStr">
        <is>
          <t>Elizabeth</t>
        </is>
      </c>
      <c r="D49" s="7" t="inlineStr">
        <is>
          <t>Green</t>
        </is>
      </c>
      <c r="E49" s="7" t="inlineStr">
        <is>
          <t>Job Training</t>
        </is>
      </c>
      <c r="F49" s="19" t="n">
        <v>5</v>
      </c>
      <c r="G49" s="7" t="inlineStr">
        <is>
          <t>2025-12-05</t>
        </is>
      </c>
      <c r="H49" s="7" t="inlineStr">
        <is>
          <t>Completed all tasks</t>
        </is>
      </c>
      <c r="I49" s="7" t="inlineStr">
        <is>
          <t>Yes</t>
        </is>
      </c>
    </row>
    <row r="50" ht="17" customHeight="1">
      <c r="A50" s="5" t="n">
        <v>47</v>
      </c>
      <c r="B50" s="5" t="n">
        <v>15</v>
      </c>
      <c r="C50" s="5" t="inlineStr">
        <is>
          <t>Elizabeth</t>
        </is>
      </c>
      <c r="D50" s="5" t="inlineStr">
        <is>
          <t>Green</t>
        </is>
      </c>
      <c r="E50" s="5" t="inlineStr">
        <is>
          <t>Food Bank</t>
        </is>
      </c>
      <c r="F50" s="16" t="n">
        <v>7.4</v>
      </c>
      <c r="G50" s="5" t="inlineStr">
        <is>
          <t>2026-02-13</t>
        </is>
      </c>
      <c r="H50" s="5" t="inlineStr">
        <is>
          <t>Ran extra 30 min</t>
        </is>
      </c>
      <c r="I50" s="5" t="inlineStr">
        <is>
          <t>Yes</t>
        </is>
      </c>
    </row>
    <row r="51" ht="17" customHeight="1">
      <c r="A51" s="7" t="n">
        <v>48</v>
      </c>
      <c r="B51" s="7" t="n">
        <v>15</v>
      </c>
      <c r="C51" s="7" t="inlineStr">
        <is>
          <t>Elizabeth</t>
        </is>
      </c>
      <c r="D51" s="7" t="inlineStr">
        <is>
          <t>Green</t>
        </is>
      </c>
      <c r="E51" s="7" t="inlineStr">
        <is>
          <t>Community Garden</t>
        </is>
      </c>
      <c r="F51" s="19" t="n">
        <v>3.1</v>
      </c>
      <c r="G51" s="7" t="inlineStr">
        <is>
          <t>2025-04-17</t>
        </is>
      </c>
      <c r="H51" s="7" t="inlineStr"/>
      <c r="I51" s="7" t="inlineStr">
        <is>
          <t>Yes</t>
        </is>
      </c>
    </row>
    <row r="52" ht="17" customHeight="1">
      <c r="A52" s="5" t="n">
        <v>49</v>
      </c>
      <c r="B52" s="5" t="n">
        <v>15</v>
      </c>
      <c r="C52" s="5" t="inlineStr">
        <is>
          <t>Elizabeth</t>
        </is>
      </c>
      <c r="D52" s="5" t="inlineStr">
        <is>
          <t>Green</t>
        </is>
      </c>
      <c r="E52" s="5" t="inlineStr">
        <is>
          <t>Environmental Cleanup</t>
        </is>
      </c>
      <c r="F52" s="16" t="n">
        <v>2.3</v>
      </c>
      <c r="G52" s="5" t="inlineStr">
        <is>
          <t>2025-12-02</t>
        </is>
      </c>
      <c r="H52" s="5" t="inlineStr">
        <is>
          <t>Great session</t>
        </is>
      </c>
      <c r="I52" s="5" t="inlineStr">
        <is>
          <t>Yes</t>
        </is>
      </c>
    </row>
    <row r="53" ht="17" customHeight="1">
      <c r="A53" s="7" t="n">
        <v>50</v>
      </c>
      <c r="B53" s="7" t="n">
        <v>15</v>
      </c>
      <c r="C53" s="7" t="inlineStr">
        <is>
          <t>Elizabeth</t>
        </is>
      </c>
      <c r="D53" s="7" t="inlineStr">
        <is>
          <t>Green</t>
        </is>
      </c>
      <c r="E53" s="7" t="inlineStr">
        <is>
          <t>Environmental Cleanup</t>
        </is>
      </c>
      <c r="F53" s="19" t="n">
        <v>2.8</v>
      </c>
      <c r="G53" s="7" t="inlineStr">
        <is>
          <t>2025-08-14</t>
        </is>
      </c>
      <c r="H53" s="7" t="inlineStr"/>
      <c r="I53" s="7" t="inlineStr">
        <is>
          <t>Yes</t>
        </is>
      </c>
    </row>
    <row r="54" ht="17" customHeight="1">
      <c r="A54" s="5" t="n">
        <v>51</v>
      </c>
      <c r="B54" s="5" t="n">
        <v>16</v>
      </c>
      <c r="C54" s="5" t="inlineStr">
        <is>
          <t>Jennifer</t>
        </is>
      </c>
      <c r="D54" s="5" t="inlineStr">
        <is>
          <t>King</t>
        </is>
      </c>
      <c r="E54" s="5" t="inlineStr">
        <is>
          <t>Mental Health Support</t>
        </is>
      </c>
      <c r="F54" s="16" t="n">
        <v>7.7</v>
      </c>
      <c r="G54" s="5" t="inlineStr">
        <is>
          <t>2025-08-25</t>
        </is>
      </c>
      <c r="H54" s="5" t="inlineStr"/>
      <c r="I54" s="5" t="inlineStr">
        <is>
          <t>Yes</t>
        </is>
      </c>
    </row>
    <row r="55" ht="17" customHeight="1">
      <c r="A55" s="7" t="n">
        <v>52</v>
      </c>
      <c r="B55" s="7" t="n">
        <v>16</v>
      </c>
      <c r="C55" s="7" t="inlineStr">
        <is>
          <t>Jennifer</t>
        </is>
      </c>
      <c r="D55" s="7" t="inlineStr">
        <is>
          <t>King</t>
        </is>
      </c>
      <c r="E55" s="7" t="inlineStr">
        <is>
          <t>Job Training</t>
        </is>
      </c>
      <c r="F55" s="19" t="n">
        <v>7</v>
      </c>
      <c r="G55" s="7" t="inlineStr">
        <is>
          <t>2025-07-02</t>
        </is>
      </c>
      <c r="H55" s="7" t="inlineStr">
        <is>
          <t>Ran extra 30 min</t>
        </is>
      </c>
      <c r="I55" s="7" t="inlineStr">
        <is>
          <t>Yes</t>
        </is>
      </c>
    </row>
    <row r="56" ht="17" customHeight="1">
      <c r="A56" s="5" t="n">
        <v>53</v>
      </c>
      <c r="B56" s="5" t="n">
        <v>16</v>
      </c>
      <c r="C56" s="5" t="inlineStr">
        <is>
          <t>Jennifer</t>
        </is>
      </c>
      <c r="D56" s="5" t="inlineStr">
        <is>
          <t>King</t>
        </is>
      </c>
      <c r="E56" s="5" t="inlineStr">
        <is>
          <t>Elder Care</t>
        </is>
      </c>
      <c r="F56" s="16" t="n">
        <v>6.5</v>
      </c>
      <c r="G56" s="5" t="inlineStr">
        <is>
          <t>2025-08-08</t>
        </is>
      </c>
      <c r="H56" s="5" t="inlineStr">
        <is>
          <t>Ran extra 30 min</t>
        </is>
      </c>
      <c r="I56" s="5" t="inlineStr">
        <is>
          <t>Yes</t>
        </is>
      </c>
    </row>
    <row r="57" ht="17" customHeight="1">
      <c r="A57" s="7" t="n">
        <v>54</v>
      </c>
      <c r="B57" s="7" t="n">
        <v>16</v>
      </c>
      <c r="C57" s="7" t="inlineStr">
        <is>
          <t>Jennifer</t>
        </is>
      </c>
      <c r="D57" s="7" t="inlineStr">
        <is>
          <t>King</t>
        </is>
      </c>
      <c r="E57" s="7" t="inlineStr">
        <is>
          <t>After-School Tutoring</t>
        </is>
      </c>
      <c r="F57" s="19" t="n">
        <v>6.5</v>
      </c>
      <c r="G57" s="7" t="inlineStr">
        <is>
          <t>2025-05-17</t>
        </is>
      </c>
      <c r="H57" s="7" t="inlineStr">
        <is>
          <t>On time, very helpful</t>
        </is>
      </c>
      <c r="I57" s="7" t="inlineStr">
        <is>
          <t>Yes</t>
        </is>
      </c>
    </row>
    <row r="58" ht="17" customHeight="1">
      <c r="A58" s="5" t="n">
        <v>55</v>
      </c>
      <c r="B58" s="5" t="n">
        <v>16</v>
      </c>
      <c r="C58" s="5" t="inlineStr">
        <is>
          <t>Jennifer</t>
        </is>
      </c>
      <c r="D58" s="5" t="inlineStr">
        <is>
          <t>King</t>
        </is>
      </c>
      <c r="E58" s="5" t="inlineStr">
        <is>
          <t>Environmental Cleanup</t>
        </is>
      </c>
      <c r="F58" s="16" t="n">
        <v>5.8</v>
      </c>
      <c r="G58" s="5" t="inlineStr">
        <is>
          <t>2025-11-19</t>
        </is>
      </c>
      <c r="H58" s="5" t="inlineStr">
        <is>
          <t>Ran extra 30 min</t>
        </is>
      </c>
      <c r="I58" s="5" t="inlineStr">
        <is>
          <t>Yes</t>
        </is>
      </c>
    </row>
    <row r="59" ht="17" customHeight="1">
      <c r="A59" s="7" t="n">
        <v>56</v>
      </c>
      <c r="B59" s="7" t="n">
        <v>16</v>
      </c>
      <c r="C59" s="7" t="inlineStr">
        <is>
          <t>Jennifer</t>
        </is>
      </c>
      <c r="D59" s="7" t="inlineStr">
        <is>
          <t>King</t>
        </is>
      </c>
      <c r="E59" s="7" t="inlineStr">
        <is>
          <t>Youth Literacy</t>
        </is>
      </c>
      <c r="F59" s="19" t="n">
        <v>6.3</v>
      </c>
      <c r="G59" s="7" t="inlineStr">
        <is>
          <t>2025-12-09</t>
        </is>
      </c>
      <c r="H59" s="7" t="inlineStr">
        <is>
          <t>On time, very helpful</t>
        </is>
      </c>
      <c r="I59" s="7" t="inlineStr">
        <is>
          <t>Yes</t>
        </is>
      </c>
    </row>
    <row r="60" ht="17" customHeight="1">
      <c r="A60" s="5" t="n">
        <v>57</v>
      </c>
      <c r="B60" s="5" t="n">
        <v>16</v>
      </c>
      <c r="C60" s="5" t="inlineStr">
        <is>
          <t>Jennifer</t>
        </is>
      </c>
      <c r="D60" s="5" t="inlineStr">
        <is>
          <t>King</t>
        </is>
      </c>
      <c r="E60" s="5" t="inlineStr">
        <is>
          <t>Mental Health Support</t>
        </is>
      </c>
      <c r="F60" s="16" t="n">
        <v>3.9</v>
      </c>
      <c r="G60" s="5" t="inlineStr">
        <is>
          <t>2025-07-06</t>
        </is>
      </c>
      <c r="H60" s="5" t="inlineStr">
        <is>
          <t>Great session</t>
        </is>
      </c>
      <c r="I60" s="5" t="inlineStr">
        <is>
          <t>Yes</t>
        </is>
      </c>
    </row>
    <row r="61" ht="17" customHeight="1">
      <c r="A61" s="7" t="n">
        <v>58</v>
      </c>
      <c r="B61" s="7" t="n">
        <v>16</v>
      </c>
      <c r="C61" s="7" t="inlineStr">
        <is>
          <t>Jennifer</t>
        </is>
      </c>
      <c r="D61" s="7" t="inlineStr">
        <is>
          <t>King</t>
        </is>
      </c>
      <c r="E61" s="7" t="inlineStr">
        <is>
          <t>Elder Care</t>
        </is>
      </c>
      <c r="F61" s="19" t="n">
        <v>2.9</v>
      </c>
      <c r="G61" s="7" t="inlineStr">
        <is>
          <t>2025-09-24</t>
        </is>
      </c>
      <c r="H61" s="7" t="inlineStr">
        <is>
          <t>Completed all tasks</t>
        </is>
      </c>
      <c r="I61" s="7" t="inlineStr">
        <is>
          <t>Yes</t>
        </is>
      </c>
    </row>
    <row r="62" ht="17" customHeight="1">
      <c r="A62" s="5" t="n">
        <v>59</v>
      </c>
      <c r="B62" s="5" t="n">
        <v>16</v>
      </c>
      <c r="C62" s="5" t="inlineStr">
        <is>
          <t>Jennifer</t>
        </is>
      </c>
      <c r="D62" s="5" t="inlineStr">
        <is>
          <t>King</t>
        </is>
      </c>
      <c r="E62" s="5" t="inlineStr">
        <is>
          <t>Community Garden</t>
        </is>
      </c>
      <c r="F62" s="16" t="n">
        <v>2.4</v>
      </c>
      <c r="G62" s="5" t="inlineStr">
        <is>
          <t>2025-09-12</t>
        </is>
      </c>
      <c r="H62" s="5" t="inlineStr">
        <is>
          <t>On time, very helpful</t>
        </is>
      </c>
      <c r="I62" s="5" t="inlineStr">
        <is>
          <t>Yes</t>
        </is>
      </c>
    </row>
    <row r="63" ht="17" customHeight="1">
      <c r="A63" s="7" t="n">
        <v>60</v>
      </c>
      <c r="B63" s="7" t="n">
        <v>16</v>
      </c>
      <c r="C63" s="7" t="inlineStr">
        <is>
          <t>Jennifer</t>
        </is>
      </c>
      <c r="D63" s="7" t="inlineStr">
        <is>
          <t>King</t>
        </is>
      </c>
      <c r="E63" s="7" t="inlineStr">
        <is>
          <t>Environmental Cleanup</t>
        </is>
      </c>
      <c r="F63" s="19" t="n">
        <v>4.5</v>
      </c>
      <c r="G63" s="7" t="inlineStr">
        <is>
          <t>2025-12-24</t>
        </is>
      </c>
      <c r="H63" s="7" t="inlineStr">
        <is>
          <t>Ran extra 30 min</t>
        </is>
      </c>
      <c r="I63" s="7" t="inlineStr">
        <is>
          <t>Yes</t>
        </is>
      </c>
    </row>
    <row r="64" ht="17" customHeight="1">
      <c r="A64" s="5" t="n">
        <v>61</v>
      </c>
      <c r="B64" s="5" t="n">
        <v>18</v>
      </c>
      <c r="C64" s="5" t="inlineStr">
        <is>
          <t>William</t>
        </is>
      </c>
      <c r="D64" s="5" t="inlineStr">
        <is>
          <t>Martinez</t>
        </is>
      </c>
      <c r="E64" s="5" t="inlineStr">
        <is>
          <t>Food Bank</t>
        </is>
      </c>
      <c r="F64" s="16" t="n">
        <v>7.1</v>
      </c>
      <c r="G64" s="5" t="inlineStr">
        <is>
          <t>2025-06-18</t>
        </is>
      </c>
      <c r="H64" s="5" t="inlineStr">
        <is>
          <t>Ran extra 30 min</t>
        </is>
      </c>
      <c r="I64" s="5" t="inlineStr">
        <is>
          <t>Yes</t>
        </is>
      </c>
    </row>
    <row r="65" ht="17" customHeight="1">
      <c r="A65" s="7" t="n">
        <v>62</v>
      </c>
      <c r="B65" s="7" t="n">
        <v>18</v>
      </c>
      <c r="C65" s="7" t="inlineStr">
        <is>
          <t>William</t>
        </is>
      </c>
      <c r="D65" s="7" t="inlineStr">
        <is>
          <t>Martinez</t>
        </is>
      </c>
      <c r="E65" s="7" t="inlineStr">
        <is>
          <t>Environmental Cleanup</t>
        </is>
      </c>
      <c r="F65" s="19" t="n">
        <v>2</v>
      </c>
      <c r="G65" s="7" t="inlineStr">
        <is>
          <t>2025-10-10</t>
        </is>
      </c>
      <c r="H65" s="7" t="inlineStr">
        <is>
          <t>On time, very helpful</t>
        </is>
      </c>
      <c r="I65" s="7" t="inlineStr">
        <is>
          <t>Yes</t>
        </is>
      </c>
    </row>
    <row r="66" ht="17" customHeight="1">
      <c r="A66" s="5" t="n">
        <v>63</v>
      </c>
      <c r="B66" s="5" t="n">
        <v>18</v>
      </c>
      <c r="C66" s="5" t="inlineStr">
        <is>
          <t>William</t>
        </is>
      </c>
      <c r="D66" s="5" t="inlineStr">
        <is>
          <t>Martinez</t>
        </is>
      </c>
      <c r="E66" s="5" t="inlineStr">
        <is>
          <t>Job Training</t>
        </is>
      </c>
      <c r="F66" s="16" t="n">
        <v>7.1</v>
      </c>
      <c r="G66" s="5" t="inlineStr">
        <is>
          <t>2025-09-06</t>
        </is>
      </c>
      <c r="H66" s="5" t="inlineStr"/>
      <c r="I66" s="5" t="inlineStr">
        <is>
          <t>Yes</t>
        </is>
      </c>
    </row>
    <row r="67" ht="17" customHeight="1">
      <c r="A67" s="7" t="n">
        <v>64</v>
      </c>
      <c r="B67" s="7" t="n">
        <v>18</v>
      </c>
      <c r="C67" s="7" t="inlineStr">
        <is>
          <t>William</t>
        </is>
      </c>
      <c r="D67" s="7" t="inlineStr">
        <is>
          <t>Martinez</t>
        </is>
      </c>
      <c r="E67" s="7" t="inlineStr">
        <is>
          <t>Community Garden</t>
        </is>
      </c>
      <c r="F67" s="19" t="n">
        <v>4.9</v>
      </c>
      <c r="G67" s="7" t="inlineStr">
        <is>
          <t>2025-11-20</t>
        </is>
      </c>
      <c r="H67" s="7" t="inlineStr">
        <is>
          <t>Ran extra 30 min</t>
        </is>
      </c>
      <c r="I67" s="7" t="inlineStr">
        <is>
          <t>Yes</t>
        </is>
      </c>
    </row>
    <row r="68" ht="17" customHeight="1">
      <c r="A68" s="5" t="n">
        <v>65</v>
      </c>
      <c r="B68" s="5" t="n">
        <v>18</v>
      </c>
      <c r="C68" s="5" t="inlineStr">
        <is>
          <t>William</t>
        </is>
      </c>
      <c r="D68" s="5" t="inlineStr">
        <is>
          <t>Martinez</t>
        </is>
      </c>
      <c r="E68" s="5" t="inlineStr">
        <is>
          <t>Environmental Cleanup</t>
        </is>
      </c>
      <c r="F68" s="16" t="n">
        <v>2.2</v>
      </c>
      <c r="G68" s="5" t="inlineStr">
        <is>
          <t>2025-10-18</t>
        </is>
      </c>
      <c r="H68" s="5" t="inlineStr">
        <is>
          <t>Ran extra 30 min</t>
        </is>
      </c>
      <c r="I68" s="5" t="inlineStr">
        <is>
          <t>Yes</t>
        </is>
      </c>
    </row>
    <row r="69" ht="17" customHeight="1">
      <c r="A69" s="7" t="n">
        <v>66</v>
      </c>
      <c r="B69" s="7" t="n">
        <v>18</v>
      </c>
      <c r="C69" s="7" t="inlineStr">
        <is>
          <t>William</t>
        </is>
      </c>
      <c r="D69" s="7" t="inlineStr">
        <is>
          <t>Martinez</t>
        </is>
      </c>
      <c r="E69" s="7" t="inlineStr">
        <is>
          <t>Elder Care</t>
        </is>
      </c>
      <c r="F69" s="19" t="n">
        <v>7</v>
      </c>
      <c r="G69" s="7" t="inlineStr">
        <is>
          <t>2026-02-02</t>
        </is>
      </c>
      <c r="H69" s="7" t="inlineStr"/>
      <c r="I69" s="7" t="inlineStr">
        <is>
          <t>Yes</t>
        </is>
      </c>
    </row>
    <row r="70" ht="17" customHeight="1">
      <c r="A70" s="5" t="n">
        <v>67</v>
      </c>
      <c r="B70" s="5" t="n">
        <v>18</v>
      </c>
      <c r="C70" s="5" t="inlineStr">
        <is>
          <t>William</t>
        </is>
      </c>
      <c r="D70" s="5" t="inlineStr">
        <is>
          <t>Martinez</t>
        </is>
      </c>
      <c r="E70" s="5" t="inlineStr">
        <is>
          <t>Food Bank</t>
        </is>
      </c>
      <c r="F70" s="16" t="n">
        <v>7.4</v>
      </c>
      <c r="G70" s="5" t="inlineStr">
        <is>
          <t>2025-06-09</t>
        </is>
      </c>
      <c r="H70" s="5" t="inlineStr"/>
      <c r="I70" s="5" t="inlineStr">
        <is>
          <t>Yes</t>
        </is>
      </c>
    </row>
    <row r="71" ht="17" customHeight="1">
      <c r="A71" s="7" t="n">
        <v>68</v>
      </c>
      <c r="B71" s="7" t="n">
        <v>18</v>
      </c>
      <c r="C71" s="7" t="inlineStr">
        <is>
          <t>William</t>
        </is>
      </c>
      <c r="D71" s="7" t="inlineStr">
        <is>
          <t>Martinez</t>
        </is>
      </c>
      <c r="E71" s="7" t="inlineStr">
        <is>
          <t>Food Bank</t>
        </is>
      </c>
      <c r="F71" s="19" t="n">
        <v>2.5</v>
      </c>
      <c r="G71" s="7" t="inlineStr">
        <is>
          <t>2025-09-01</t>
        </is>
      </c>
      <c r="H71" s="7" t="inlineStr">
        <is>
          <t>Completed all tasks</t>
        </is>
      </c>
      <c r="I71" s="7" t="inlineStr">
        <is>
          <t>Yes</t>
        </is>
      </c>
    </row>
    <row r="72" ht="17" customHeight="1">
      <c r="A72" s="5" t="n">
        <v>69</v>
      </c>
      <c r="B72" s="5" t="n">
        <v>19</v>
      </c>
      <c r="C72" s="5" t="inlineStr">
        <is>
          <t>Richard</t>
        </is>
      </c>
      <c r="D72" s="5" t="inlineStr">
        <is>
          <t>Green</t>
        </is>
      </c>
      <c r="E72" s="5" t="inlineStr">
        <is>
          <t>Elder Care</t>
        </is>
      </c>
      <c r="F72" s="16" t="n">
        <v>2.3</v>
      </c>
      <c r="G72" s="5" t="inlineStr">
        <is>
          <t>2025-09-26</t>
        </is>
      </c>
      <c r="H72" s="5" t="inlineStr">
        <is>
          <t>On time, very helpful</t>
        </is>
      </c>
      <c r="I72" s="5" t="inlineStr">
        <is>
          <t>Yes</t>
        </is>
      </c>
    </row>
    <row r="73" ht="17" customHeight="1">
      <c r="A73" s="7" t="n">
        <v>70</v>
      </c>
      <c r="B73" s="7" t="n">
        <v>19</v>
      </c>
      <c r="C73" s="7" t="inlineStr">
        <is>
          <t>Richard</t>
        </is>
      </c>
      <c r="D73" s="7" t="inlineStr">
        <is>
          <t>Green</t>
        </is>
      </c>
      <c r="E73" s="7" t="inlineStr">
        <is>
          <t>Community Garden</t>
        </is>
      </c>
      <c r="F73" s="19" t="n">
        <v>4.7</v>
      </c>
      <c r="G73" s="7" t="inlineStr">
        <is>
          <t>2025-10-18</t>
        </is>
      </c>
      <c r="H73" s="7" t="inlineStr">
        <is>
          <t>Ran extra 30 min</t>
        </is>
      </c>
      <c r="I73" s="7" t="inlineStr">
        <is>
          <t>Yes</t>
        </is>
      </c>
    </row>
    <row r="74" ht="17" customHeight="1">
      <c r="A74" s="5" t="n">
        <v>71</v>
      </c>
      <c r="B74" s="5" t="n">
        <v>19</v>
      </c>
      <c r="C74" s="5" t="inlineStr">
        <is>
          <t>Richard</t>
        </is>
      </c>
      <c r="D74" s="5" t="inlineStr">
        <is>
          <t>Green</t>
        </is>
      </c>
      <c r="E74" s="5" t="inlineStr">
        <is>
          <t>After-School Tutoring</t>
        </is>
      </c>
      <c r="F74" s="16" t="n">
        <v>6.5</v>
      </c>
      <c r="G74" s="5" t="inlineStr">
        <is>
          <t>2025-09-05</t>
        </is>
      </c>
      <c r="H74" s="5" t="inlineStr">
        <is>
          <t>On time, very helpful</t>
        </is>
      </c>
      <c r="I74" s="5" t="inlineStr">
        <is>
          <t>Yes</t>
        </is>
      </c>
    </row>
    <row r="75" ht="17" customHeight="1">
      <c r="A75" s="7" t="n">
        <v>72</v>
      </c>
      <c r="B75" s="7" t="n">
        <v>19</v>
      </c>
      <c r="C75" s="7" t="inlineStr">
        <is>
          <t>Richard</t>
        </is>
      </c>
      <c r="D75" s="7" t="inlineStr">
        <is>
          <t>Green</t>
        </is>
      </c>
      <c r="E75" s="7" t="inlineStr">
        <is>
          <t>Youth Literacy</t>
        </is>
      </c>
      <c r="F75" s="19" t="n">
        <v>4.8</v>
      </c>
      <c r="G75" s="7" t="inlineStr">
        <is>
          <t>2025-07-06</t>
        </is>
      </c>
      <c r="H75" s="7" t="inlineStr">
        <is>
          <t>Great session</t>
        </is>
      </c>
      <c r="I75" s="7" t="inlineStr">
        <is>
          <t>Yes</t>
        </is>
      </c>
    </row>
    <row r="76" ht="17" customHeight="1">
      <c r="A76" s="5" t="n">
        <v>73</v>
      </c>
      <c r="B76" s="5" t="n">
        <v>19</v>
      </c>
      <c r="C76" s="5" t="inlineStr">
        <is>
          <t>Richard</t>
        </is>
      </c>
      <c r="D76" s="5" t="inlineStr">
        <is>
          <t>Green</t>
        </is>
      </c>
      <c r="E76" s="5" t="inlineStr">
        <is>
          <t>Mental Health Support</t>
        </is>
      </c>
      <c r="F76" s="16" t="n">
        <v>3.3</v>
      </c>
      <c r="G76" s="5" t="inlineStr">
        <is>
          <t>2026-03-04</t>
        </is>
      </c>
      <c r="H76" s="5" t="inlineStr">
        <is>
          <t>Great session</t>
        </is>
      </c>
      <c r="I76" s="5" t="inlineStr">
        <is>
          <t>Yes</t>
        </is>
      </c>
    </row>
    <row r="77" ht="17" customHeight="1">
      <c r="A77" s="7" t="n">
        <v>74</v>
      </c>
      <c r="B77" s="7" t="n">
        <v>19</v>
      </c>
      <c r="C77" s="7" t="inlineStr">
        <is>
          <t>Richard</t>
        </is>
      </c>
      <c r="D77" s="7" t="inlineStr">
        <is>
          <t>Green</t>
        </is>
      </c>
      <c r="E77" s="7" t="inlineStr">
        <is>
          <t>Food Bank</t>
        </is>
      </c>
      <c r="F77" s="19" t="n">
        <v>7.7</v>
      </c>
      <c r="G77" s="7" t="inlineStr">
        <is>
          <t>2025-12-27</t>
        </is>
      </c>
      <c r="H77" s="7" t="inlineStr">
        <is>
          <t>Great session</t>
        </is>
      </c>
      <c r="I77" s="7" t="inlineStr">
        <is>
          <t>Yes</t>
        </is>
      </c>
    </row>
    <row r="78" ht="17" customHeight="1">
      <c r="A78" s="5" t="n">
        <v>75</v>
      </c>
      <c r="B78" s="5" t="n">
        <v>19</v>
      </c>
      <c r="C78" s="5" t="inlineStr">
        <is>
          <t>Richard</t>
        </is>
      </c>
      <c r="D78" s="5" t="inlineStr">
        <is>
          <t>Green</t>
        </is>
      </c>
      <c r="E78" s="5" t="inlineStr">
        <is>
          <t>Elder Care</t>
        </is>
      </c>
      <c r="F78" s="16" t="n">
        <v>3.4</v>
      </c>
      <c r="G78" s="5" t="inlineStr">
        <is>
          <t>2025-08-09</t>
        </is>
      </c>
      <c r="H78" s="5" t="inlineStr">
        <is>
          <t>Great session</t>
        </is>
      </c>
      <c r="I78" s="5" t="inlineStr">
        <is>
          <t>Yes</t>
        </is>
      </c>
    </row>
    <row r="79" ht="17" customHeight="1">
      <c r="A79" s="7" t="n">
        <v>76</v>
      </c>
      <c r="B79" s="7" t="n">
        <v>19</v>
      </c>
      <c r="C79" s="7" t="inlineStr">
        <is>
          <t>Richard</t>
        </is>
      </c>
      <c r="D79" s="7" t="inlineStr">
        <is>
          <t>Green</t>
        </is>
      </c>
      <c r="E79" s="7" t="inlineStr">
        <is>
          <t>Community Garden</t>
        </is>
      </c>
      <c r="F79" s="19" t="n">
        <v>4.8</v>
      </c>
      <c r="G79" s="7" t="inlineStr">
        <is>
          <t>2025-11-28</t>
        </is>
      </c>
      <c r="H79" s="7" t="inlineStr">
        <is>
          <t>On time, very helpful</t>
        </is>
      </c>
      <c r="I79" s="7" t="inlineStr">
        <is>
          <t>Yes</t>
        </is>
      </c>
    </row>
    <row r="80" ht="17" customHeight="1">
      <c r="A80" s="5" t="n">
        <v>77</v>
      </c>
      <c r="B80" s="5" t="n">
        <v>19</v>
      </c>
      <c r="C80" s="5" t="inlineStr">
        <is>
          <t>Richard</t>
        </is>
      </c>
      <c r="D80" s="5" t="inlineStr">
        <is>
          <t>Green</t>
        </is>
      </c>
      <c r="E80" s="5" t="inlineStr">
        <is>
          <t>Elder Care</t>
        </is>
      </c>
      <c r="F80" s="16" t="n">
        <v>5.6</v>
      </c>
      <c r="G80" s="5" t="inlineStr">
        <is>
          <t>2026-02-09</t>
        </is>
      </c>
      <c r="H80" s="5" t="inlineStr">
        <is>
          <t>Completed all tasks</t>
        </is>
      </c>
      <c r="I80" s="5" t="inlineStr">
        <is>
          <t>Yes</t>
        </is>
      </c>
    </row>
    <row r="81" ht="17" customHeight="1">
      <c r="A81" s="7" t="n">
        <v>78</v>
      </c>
      <c r="B81" s="7" t="n">
        <v>20</v>
      </c>
      <c r="C81" s="7" t="inlineStr">
        <is>
          <t>Jennifer</t>
        </is>
      </c>
      <c r="D81" s="7" t="inlineStr">
        <is>
          <t>Baker</t>
        </is>
      </c>
      <c r="E81" s="7" t="inlineStr">
        <is>
          <t>Youth Literacy</t>
        </is>
      </c>
      <c r="F81" s="19" t="n">
        <v>5.5</v>
      </c>
      <c r="G81" s="7" t="inlineStr">
        <is>
          <t>2025-10-31</t>
        </is>
      </c>
      <c r="H81" s="7" t="inlineStr"/>
      <c r="I81" s="7" t="inlineStr">
        <is>
          <t>Yes</t>
        </is>
      </c>
    </row>
    <row r="82" ht="17" customHeight="1">
      <c r="A82" s="5" t="n">
        <v>79</v>
      </c>
      <c r="B82" s="5" t="n">
        <v>20</v>
      </c>
      <c r="C82" s="5" t="inlineStr">
        <is>
          <t>Jennifer</t>
        </is>
      </c>
      <c r="D82" s="5" t="inlineStr">
        <is>
          <t>Baker</t>
        </is>
      </c>
      <c r="E82" s="5" t="inlineStr">
        <is>
          <t>Job Training</t>
        </is>
      </c>
      <c r="F82" s="16" t="n">
        <v>4.4</v>
      </c>
      <c r="G82" s="5" t="inlineStr">
        <is>
          <t>2025-12-28</t>
        </is>
      </c>
      <c r="H82" s="5" t="inlineStr">
        <is>
          <t>Great session</t>
        </is>
      </c>
      <c r="I82" s="5" t="inlineStr">
        <is>
          <t>Yes</t>
        </is>
      </c>
    </row>
    <row r="83" ht="17" customHeight="1">
      <c r="A83" s="7" t="n">
        <v>80</v>
      </c>
      <c r="B83" s="7" t="n">
        <v>20</v>
      </c>
      <c r="C83" s="7" t="inlineStr">
        <is>
          <t>Jennifer</t>
        </is>
      </c>
      <c r="D83" s="7" t="inlineStr">
        <is>
          <t>Baker</t>
        </is>
      </c>
      <c r="E83" s="7" t="inlineStr">
        <is>
          <t>Community Garden</t>
        </is>
      </c>
      <c r="F83" s="19" t="n">
        <v>2.6</v>
      </c>
      <c r="G83" s="7" t="inlineStr">
        <is>
          <t>2025-11-05</t>
        </is>
      </c>
      <c r="H83" s="7" t="inlineStr"/>
      <c r="I83" s="7" t="inlineStr">
        <is>
          <t>Yes</t>
        </is>
      </c>
    </row>
    <row r="84" ht="17" customHeight="1">
      <c r="A84" s="5" t="n">
        <v>81</v>
      </c>
      <c r="B84" s="5" t="n">
        <v>20</v>
      </c>
      <c r="C84" s="5" t="inlineStr">
        <is>
          <t>Jennifer</t>
        </is>
      </c>
      <c r="D84" s="5" t="inlineStr">
        <is>
          <t>Baker</t>
        </is>
      </c>
      <c r="E84" s="5" t="inlineStr">
        <is>
          <t>Youth Literacy</t>
        </is>
      </c>
      <c r="F84" s="16" t="n">
        <v>6.8</v>
      </c>
      <c r="G84" s="5" t="inlineStr">
        <is>
          <t>2025-06-23</t>
        </is>
      </c>
      <c r="H84" s="5" t="inlineStr">
        <is>
          <t>Great session</t>
        </is>
      </c>
      <c r="I84" s="5" t="inlineStr">
        <is>
          <t>Yes</t>
        </is>
      </c>
    </row>
    <row r="85" ht="17" customHeight="1">
      <c r="A85" s="7" t="n">
        <v>82</v>
      </c>
      <c r="B85" s="7" t="n">
        <v>20</v>
      </c>
      <c r="C85" s="7" t="inlineStr">
        <is>
          <t>Jennifer</t>
        </is>
      </c>
      <c r="D85" s="7" t="inlineStr">
        <is>
          <t>Baker</t>
        </is>
      </c>
      <c r="E85" s="7" t="inlineStr">
        <is>
          <t>Mental Health Support</t>
        </is>
      </c>
      <c r="F85" s="19" t="n">
        <v>5.2</v>
      </c>
      <c r="G85" s="7" t="inlineStr">
        <is>
          <t>2025-05-05</t>
        </is>
      </c>
      <c r="H85" s="7" t="inlineStr">
        <is>
          <t>On time, very helpful</t>
        </is>
      </c>
      <c r="I85" s="7" t="inlineStr">
        <is>
          <t>Yes</t>
        </is>
      </c>
    </row>
    <row r="86" ht="17" customHeight="1">
      <c r="A86" s="5" t="n">
        <v>83</v>
      </c>
      <c r="B86" s="5" t="n">
        <v>20</v>
      </c>
      <c r="C86" s="5" t="inlineStr">
        <is>
          <t>Jennifer</t>
        </is>
      </c>
      <c r="D86" s="5" t="inlineStr">
        <is>
          <t>Baker</t>
        </is>
      </c>
      <c r="E86" s="5" t="inlineStr">
        <is>
          <t>Youth Literacy</t>
        </is>
      </c>
      <c r="F86" s="16" t="n">
        <v>5</v>
      </c>
      <c r="G86" s="5" t="inlineStr">
        <is>
          <t>2025-10-16</t>
        </is>
      </c>
      <c r="H86" s="5" t="inlineStr">
        <is>
          <t>Great session</t>
        </is>
      </c>
      <c r="I86" s="5" t="inlineStr">
        <is>
          <t>Yes</t>
        </is>
      </c>
    </row>
    <row r="87" ht="17" customHeight="1">
      <c r="A87" s="7" t="n">
        <v>84</v>
      </c>
      <c r="B87" s="7" t="n">
        <v>21</v>
      </c>
      <c r="C87" s="7" t="inlineStr">
        <is>
          <t>William</t>
        </is>
      </c>
      <c r="D87" s="7" t="inlineStr">
        <is>
          <t>Walker</t>
        </is>
      </c>
      <c r="E87" s="7" t="inlineStr">
        <is>
          <t>Environmental Cleanup</t>
        </is>
      </c>
      <c r="F87" s="19" t="n">
        <v>2.6</v>
      </c>
      <c r="G87" s="7" t="inlineStr">
        <is>
          <t>2025-10-05</t>
        </is>
      </c>
      <c r="H87" s="7" t="inlineStr">
        <is>
          <t>Ran extra 30 min</t>
        </is>
      </c>
      <c r="I87" s="7" t="inlineStr">
        <is>
          <t>Yes</t>
        </is>
      </c>
    </row>
    <row r="88" ht="17" customHeight="1">
      <c r="A88" s="5" t="n">
        <v>85</v>
      </c>
      <c r="B88" s="5" t="n">
        <v>21</v>
      </c>
      <c r="C88" s="5" t="inlineStr">
        <is>
          <t>William</t>
        </is>
      </c>
      <c r="D88" s="5" t="inlineStr">
        <is>
          <t>Walker</t>
        </is>
      </c>
      <c r="E88" s="5" t="inlineStr">
        <is>
          <t>Elder Care</t>
        </is>
      </c>
      <c r="F88" s="16" t="n">
        <v>4.6</v>
      </c>
      <c r="G88" s="5" t="inlineStr">
        <is>
          <t>2025-07-15</t>
        </is>
      </c>
      <c r="H88" s="5" t="inlineStr">
        <is>
          <t>On time, very helpful</t>
        </is>
      </c>
      <c r="I88" s="5" t="inlineStr">
        <is>
          <t>Yes</t>
        </is>
      </c>
    </row>
    <row r="89" ht="17" customHeight="1">
      <c r="A89" s="7" t="n">
        <v>86</v>
      </c>
      <c r="B89" s="7" t="n">
        <v>21</v>
      </c>
      <c r="C89" s="7" t="inlineStr">
        <is>
          <t>William</t>
        </is>
      </c>
      <c r="D89" s="7" t="inlineStr">
        <is>
          <t>Walker</t>
        </is>
      </c>
      <c r="E89" s="7" t="inlineStr">
        <is>
          <t>Environmental Cleanup</t>
        </is>
      </c>
      <c r="F89" s="19" t="n">
        <v>4.8</v>
      </c>
      <c r="G89" s="7" t="inlineStr">
        <is>
          <t>2025-06-09</t>
        </is>
      </c>
      <c r="H89" s="7" t="inlineStr">
        <is>
          <t>On time, very helpful</t>
        </is>
      </c>
      <c r="I89" s="7" t="inlineStr">
        <is>
          <t>Yes</t>
        </is>
      </c>
    </row>
    <row r="90" ht="17" customHeight="1">
      <c r="A90" s="5" t="n">
        <v>87</v>
      </c>
      <c r="B90" s="5" t="n">
        <v>21</v>
      </c>
      <c r="C90" s="5" t="inlineStr">
        <is>
          <t>William</t>
        </is>
      </c>
      <c r="D90" s="5" t="inlineStr">
        <is>
          <t>Walker</t>
        </is>
      </c>
      <c r="E90" s="5" t="inlineStr">
        <is>
          <t>Mental Health Support</t>
        </is>
      </c>
      <c r="F90" s="16" t="n">
        <v>7.1</v>
      </c>
      <c r="G90" s="5" t="inlineStr">
        <is>
          <t>2026-02-23</t>
        </is>
      </c>
      <c r="H90" s="5" t="inlineStr">
        <is>
          <t>On time, very helpful</t>
        </is>
      </c>
      <c r="I90" s="5" t="inlineStr">
        <is>
          <t>Yes</t>
        </is>
      </c>
    </row>
    <row r="91" ht="17" customHeight="1">
      <c r="A91" s="7" t="n">
        <v>88</v>
      </c>
      <c r="B91" s="7" t="n">
        <v>21</v>
      </c>
      <c r="C91" s="7" t="inlineStr">
        <is>
          <t>William</t>
        </is>
      </c>
      <c r="D91" s="7" t="inlineStr">
        <is>
          <t>Walker</t>
        </is>
      </c>
      <c r="E91" s="7" t="inlineStr">
        <is>
          <t>Environmental Cleanup</t>
        </is>
      </c>
      <c r="F91" s="19" t="n">
        <v>3.5</v>
      </c>
      <c r="G91" s="7" t="inlineStr">
        <is>
          <t>2025-08-14</t>
        </is>
      </c>
      <c r="H91" s="7" t="inlineStr"/>
      <c r="I91" s="7" t="inlineStr">
        <is>
          <t>Yes</t>
        </is>
      </c>
    </row>
    <row r="92" ht="17" customHeight="1">
      <c r="A92" s="5" t="n">
        <v>89</v>
      </c>
      <c r="B92" s="5" t="n">
        <v>21</v>
      </c>
      <c r="C92" s="5" t="inlineStr">
        <is>
          <t>William</t>
        </is>
      </c>
      <c r="D92" s="5" t="inlineStr">
        <is>
          <t>Walker</t>
        </is>
      </c>
      <c r="E92" s="5" t="inlineStr">
        <is>
          <t>Job Training</t>
        </is>
      </c>
      <c r="F92" s="16" t="n">
        <v>4</v>
      </c>
      <c r="G92" s="5" t="inlineStr">
        <is>
          <t>2025-07-29</t>
        </is>
      </c>
      <c r="H92" s="5" t="inlineStr">
        <is>
          <t>On time, very helpful</t>
        </is>
      </c>
      <c r="I92" s="5" t="inlineStr">
        <is>
          <t>Yes</t>
        </is>
      </c>
    </row>
    <row r="93" ht="17" customHeight="1">
      <c r="A93" s="7" t="n">
        <v>90</v>
      </c>
      <c r="B93" s="7" t="n">
        <v>21</v>
      </c>
      <c r="C93" s="7" t="inlineStr">
        <is>
          <t>William</t>
        </is>
      </c>
      <c r="D93" s="7" t="inlineStr">
        <is>
          <t>Walker</t>
        </is>
      </c>
      <c r="E93" s="7" t="inlineStr">
        <is>
          <t>Elder Care</t>
        </is>
      </c>
      <c r="F93" s="19" t="n">
        <v>4.9</v>
      </c>
      <c r="G93" s="7" t="inlineStr">
        <is>
          <t>2025-10-09</t>
        </is>
      </c>
      <c r="H93" s="7" t="inlineStr">
        <is>
          <t>On time, very helpful</t>
        </is>
      </c>
      <c r="I93" s="7" t="inlineStr">
        <is>
          <t>Yes</t>
        </is>
      </c>
    </row>
    <row r="94" ht="17" customHeight="1">
      <c r="A94" s="5" t="n">
        <v>91</v>
      </c>
      <c r="B94" s="5" t="n">
        <v>21</v>
      </c>
      <c r="C94" s="5" t="inlineStr">
        <is>
          <t>William</t>
        </is>
      </c>
      <c r="D94" s="5" t="inlineStr">
        <is>
          <t>Walker</t>
        </is>
      </c>
      <c r="E94" s="5" t="inlineStr">
        <is>
          <t>Mental Health Support</t>
        </is>
      </c>
      <c r="F94" s="16" t="n">
        <v>3.7</v>
      </c>
      <c r="G94" s="5" t="inlineStr">
        <is>
          <t>2025-06-07</t>
        </is>
      </c>
      <c r="H94" s="5" t="inlineStr">
        <is>
          <t>On time, very helpful</t>
        </is>
      </c>
      <c r="I94" s="5" t="inlineStr">
        <is>
          <t>Yes</t>
        </is>
      </c>
    </row>
    <row r="95" ht="17" customHeight="1">
      <c r="A95" s="7" t="n">
        <v>92</v>
      </c>
      <c r="B95" s="7" t="n">
        <v>22</v>
      </c>
      <c r="C95" s="7" t="inlineStr">
        <is>
          <t>Dorothy</t>
        </is>
      </c>
      <c r="D95" s="7" t="inlineStr">
        <is>
          <t>Chen</t>
        </is>
      </c>
      <c r="E95" s="7" t="inlineStr">
        <is>
          <t>Food Bank</t>
        </is>
      </c>
      <c r="F95" s="19" t="n">
        <v>5.1</v>
      </c>
      <c r="G95" s="7" t="inlineStr">
        <is>
          <t>2026-01-01</t>
        </is>
      </c>
      <c r="H95" s="7" t="inlineStr">
        <is>
          <t>Great session</t>
        </is>
      </c>
      <c r="I95" s="7" t="inlineStr">
        <is>
          <t>Yes</t>
        </is>
      </c>
    </row>
    <row r="96" ht="17" customHeight="1">
      <c r="A96" s="5" t="n">
        <v>93</v>
      </c>
      <c r="B96" s="5" t="n">
        <v>22</v>
      </c>
      <c r="C96" s="5" t="inlineStr">
        <is>
          <t>Dorothy</t>
        </is>
      </c>
      <c r="D96" s="5" t="inlineStr">
        <is>
          <t>Chen</t>
        </is>
      </c>
      <c r="E96" s="5" t="inlineStr">
        <is>
          <t>Community Garden</t>
        </is>
      </c>
      <c r="F96" s="16" t="n">
        <v>6.3</v>
      </c>
      <c r="G96" s="5" t="inlineStr">
        <is>
          <t>2025-08-01</t>
        </is>
      </c>
      <c r="H96" s="5" t="inlineStr"/>
      <c r="I96" s="5" t="inlineStr">
        <is>
          <t>Yes</t>
        </is>
      </c>
    </row>
    <row r="97" ht="17" customHeight="1">
      <c r="A97" s="7" t="n">
        <v>94</v>
      </c>
      <c r="B97" s="7" t="n">
        <v>22</v>
      </c>
      <c r="C97" s="7" t="inlineStr">
        <is>
          <t>Dorothy</t>
        </is>
      </c>
      <c r="D97" s="7" t="inlineStr">
        <is>
          <t>Chen</t>
        </is>
      </c>
      <c r="E97" s="7" t="inlineStr">
        <is>
          <t>Community Garden</t>
        </is>
      </c>
      <c r="F97" s="19" t="n">
        <v>6.1</v>
      </c>
      <c r="G97" s="7" t="inlineStr">
        <is>
          <t>2025-05-13</t>
        </is>
      </c>
      <c r="H97" s="7" t="inlineStr">
        <is>
          <t>Ran extra 30 min</t>
        </is>
      </c>
      <c r="I97" s="7" t="inlineStr">
        <is>
          <t>Yes</t>
        </is>
      </c>
    </row>
    <row r="98" ht="17" customHeight="1">
      <c r="A98" s="5" t="n">
        <v>95</v>
      </c>
      <c r="B98" s="5" t="n">
        <v>22</v>
      </c>
      <c r="C98" s="5" t="inlineStr">
        <is>
          <t>Dorothy</t>
        </is>
      </c>
      <c r="D98" s="5" t="inlineStr">
        <is>
          <t>Chen</t>
        </is>
      </c>
      <c r="E98" s="5" t="inlineStr">
        <is>
          <t>Environmental Cleanup</t>
        </is>
      </c>
      <c r="F98" s="16" t="n">
        <v>6.8</v>
      </c>
      <c r="G98" s="5" t="inlineStr">
        <is>
          <t>2026-02-20</t>
        </is>
      </c>
      <c r="H98" s="5" t="inlineStr">
        <is>
          <t>On time, very helpful</t>
        </is>
      </c>
      <c r="I98" s="5" t="inlineStr">
        <is>
          <t>Yes</t>
        </is>
      </c>
    </row>
    <row r="99" ht="17" customHeight="1">
      <c r="A99" s="7" t="n">
        <v>96</v>
      </c>
      <c r="B99" s="7" t="n">
        <v>22</v>
      </c>
      <c r="C99" s="7" t="inlineStr">
        <is>
          <t>Dorothy</t>
        </is>
      </c>
      <c r="D99" s="7" t="inlineStr">
        <is>
          <t>Chen</t>
        </is>
      </c>
      <c r="E99" s="7" t="inlineStr">
        <is>
          <t>Community Garden</t>
        </is>
      </c>
      <c r="F99" s="19" t="n">
        <v>4.4</v>
      </c>
      <c r="G99" s="7" t="inlineStr">
        <is>
          <t>2025-12-05</t>
        </is>
      </c>
      <c r="H99" s="7" t="inlineStr">
        <is>
          <t>On time, very helpful</t>
        </is>
      </c>
      <c r="I99" s="7" t="inlineStr">
        <is>
          <t>Yes</t>
        </is>
      </c>
    </row>
    <row r="100" ht="17" customHeight="1">
      <c r="A100" s="5" t="n">
        <v>97</v>
      </c>
      <c r="B100" s="5" t="n">
        <v>22</v>
      </c>
      <c r="C100" s="5" t="inlineStr">
        <is>
          <t>Dorothy</t>
        </is>
      </c>
      <c r="D100" s="5" t="inlineStr">
        <is>
          <t>Chen</t>
        </is>
      </c>
      <c r="E100" s="5" t="inlineStr">
        <is>
          <t>Mental Health Support</t>
        </is>
      </c>
      <c r="F100" s="16" t="n">
        <v>4.8</v>
      </c>
      <c r="G100" s="5" t="inlineStr">
        <is>
          <t>2025-07-11</t>
        </is>
      </c>
      <c r="H100" s="5" t="inlineStr">
        <is>
          <t>On time, very helpful</t>
        </is>
      </c>
      <c r="I100" s="5" t="inlineStr">
        <is>
          <t>Yes</t>
        </is>
      </c>
    </row>
    <row r="101" ht="17" customHeight="1">
      <c r="A101" s="7" t="n">
        <v>98</v>
      </c>
      <c r="B101" s="7" t="n">
        <v>22</v>
      </c>
      <c r="C101" s="7" t="inlineStr">
        <is>
          <t>Dorothy</t>
        </is>
      </c>
      <c r="D101" s="7" t="inlineStr">
        <is>
          <t>Chen</t>
        </is>
      </c>
      <c r="E101" s="7" t="inlineStr">
        <is>
          <t>Job Training</t>
        </is>
      </c>
      <c r="F101" s="19" t="n">
        <v>8</v>
      </c>
      <c r="G101" s="7" t="inlineStr">
        <is>
          <t>2025-07-01</t>
        </is>
      </c>
      <c r="H101" s="7" t="inlineStr">
        <is>
          <t>On time, very helpful</t>
        </is>
      </c>
      <c r="I101" s="7" t="inlineStr">
        <is>
          <t>Yes</t>
        </is>
      </c>
    </row>
    <row r="102" ht="17" customHeight="1">
      <c r="A102" s="5" t="n">
        <v>99</v>
      </c>
      <c r="B102" s="5" t="n">
        <v>22</v>
      </c>
      <c r="C102" s="5" t="inlineStr">
        <is>
          <t>Dorothy</t>
        </is>
      </c>
      <c r="D102" s="5" t="inlineStr">
        <is>
          <t>Chen</t>
        </is>
      </c>
      <c r="E102" s="5" t="inlineStr">
        <is>
          <t>Mental Health Support</t>
        </is>
      </c>
      <c r="F102" s="16" t="n">
        <v>6.2</v>
      </c>
      <c r="G102" s="5" t="inlineStr">
        <is>
          <t>2025-11-21</t>
        </is>
      </c>
      <c r="H102" s="5" t="inlineStr">
        <is>
          <t>On time, very helpful</t>
        </is>
      </c>
      <c r="I102" s="5" t="inlineStr">
        <is>
          <t>Yes</t>
        </is>
      </c>
    </row>
    <row r="103" ht="17" customHeight="1">
      <c r="A103" s="7" t="n">
        <v>100</v>
      </c>
      <c r="B103" s="7" t="n">
        <v>22</v>
      </c>
      <c r="C103" s="7" t="inlineStr">
        <is>
          <t>Dorothy</t>
        </is>
      </c>
      <c r="D103" s="7" t="inlineStr">
        <is>
          <t>Chen</t>
        </is>
      </c>
      <c r="E103" s="7" t="inlineStr">
        <is>
          <t>After-School Tutoring</t>
        </is>
      </c>
      <c r="F103" s="19" t="n">
        <v>3.4</v>
      </c>
      <c r="G103" s="7" t="inlineStr">
        <is>
          <t>2025-12-31</t>
        </is>
      </c>
      <c r="H103" s="7" t="inlineStr">
        <is>
          <t>On time, very helpful</t>
        </is>
      </c>
      <c r="I103" s="7" t="inlineStr">
        <is>
          <t>Yes</t>
        </is>
      </c>
    </row>
    <row r="104" ht="17" customHeight="1">
      <c r="A104" s="5" t="n">
        <v>101</v>
      </c>
      <c r="B104" s="5" t="n">
        <v>22</v>
      </c>
      <c r="C104" s="5" t="inlineStr">
        <is>
          <t>Dorothy</t>
        </is>
      </c>
      <c r="D104" s="5" t="inlineStr">
        <is>
          <t>Chen</t>
        </is>
      </c>
      <c r="E104" s="5" t="inlineStr">
        <is>
          <t>Youth Literacy</t>
        </is>
      </c>
      <c r="F104" s="16" t="n">
        <v>6.5</v>
      </c>
      <c r="G104" s="5" t="inlineStr">
        <is>
          <t>2025-04-20</t>
        </is>
      </c>
      <c r="H104" s="5" t="inlineStr">
        <is>
          <t>Completed all tasks</t>
        </is>
      </c>
      <c r="I104" s="5" t="inlineStr">
        <is>
          <t>Yes</t>
        </is>
      </c>
    </row>
    <row r="105" ht="17" customHeight="1">
      <c r="A105" s="7" t="n">
        <v>102</v>
      </c>
      <c r="B105" s="7" t="n">
        <v>23</v>
      </c>
      <c r="C105" s="7" t="inlineStr">
        <is>
          <t>Sarah</t>
        </is>
      </c>
      <c r="D105" s="7" t="inlineStr">
        <is>
          <t>Adams</t>
        </is>
      </c>
      <c r="E105" s="7" t="inlineStr">
        <is>
          <t>Community Garden</t>
        </is>
      </c>
      <c r="F105" s="19" t="n">
        <v>6.4</v>
      </c>
      <c r="G105" s="7" t="inlineStr">
        <is>
          <t>2025-11-18</t>
        </is>
      </c>
      <c r="H105" s="7" t="inlineStr"/>
      <c r="I105" s="7" t="inlineStr">
        <is>
          <t>Yes</t>
        </is>
      </c>
    </row>
    <row r="106" ht="17" customHeight="1">
      <c r="A106" s="5" t="n">
        <v>103</v>
      </c>
      <c r="B106" s="5" t="n">
        <v>23</v>
      </c>
      <c r="C106" s="5" t="inlineStr">
        <is>
          <t>Sarah</t>
        </is>
      </c>
      <c r="D106" s="5" t="inlineStr">
        <is>
          <t>Adams</t>
        </is>
      </c>
      <c r="E106" s="5" t="inlineStr">
        <is>
          <t>After-School Tutoring</t>
        </is>
      </c>
      <c r="F106" s="16" t="n">
        <v>7.9</v>
      </c>
      <c r="G106" s="5" t="inlineStr">
        <is>
          <t>2025-12-30</t>
        </is>
      </c>
      <c r="H106" s="5" t="inlineStr">
        <is>
          <t>On time, very helpful</t>
        </is>
      </c>
      <c r="I106" s="5" t="inlineStr">
        <is>
          <t>Yes</t>
        </is>
      </c>
    </row>
    <row r="107" ht="17" customHeight="1">
      <c r="A107" s="7" t="n">
        <v>104</v>
      </c>
      <c r="B107" s="7" t="n">
        <v>23</v>
      </c>
      <c r="C107" s="7" t="inlineStr">
        <is>
          <t>Sarah</t>
        </is>
      </c>
      <c r="D107" s="7" t="inlineStr">
        <is>
          <t>Adams</t>
        </is>
      </c>
      <c r="E107" s="7" t="inlineStr">
        <is>
          <t>Community Garden</t>
        </is>
      </c>
      <c r="F107" s="19" t="n">
        <v>4.2</v>
      </c>
      <c r="G107" s="7" t="inlineStr">
        <is>
          <t>2025-11-05</t>
        </is>
      </c>
      <c r="H107" s="7" t="inlineStr">
        <is>
          <t>Great session</t>
        </is>
      </c>
      <c r="I107" s="7" t="inlineStr">
        <is>
          <t>Yes</t>
        </is>
      </c>
    </row>
    <row r="108" ht="17" customHeight="1">
      <c r="A108" s="5" t="n">
        <v>105</v>
      </c>
      <c r="B108" s="5" t="n">
        <v>23</v>
      </c>
      <c r="C108" s="5" t="inlineStr">
        <is>
          <t>Sarah</t>
        </is>
      </c>
      <c r="D108" s="5" t="inlineStr">
        <is>
          <t>Adams</t>
        </is>
      </c>
      <c r="E108" s="5" t="inlineStr">
        <is>
          <t>Elder Care</t>
        </is>
      </c>
      <c r="F108" s="16" t="n">
        <v>3.6</v>
      </c>
      <c r="G108" s="5" t="inlineStr">
        <is>
          <t>2026-03-12</t>
        </is>
      </c>
      <c r="H108" s="5" t="inlineStr"/>
      <c r="I108" s="5" t="inlineStr">
        <is>
          <t>Yes</t>
        </is>
      </c>
    </row>
    <row r="109" ht="17" customHeight="1">
      <c r="A109" s="7" t="n">
        <v>106</v>
      </c>
      <c r="B109" s="7" t="n">
        <v>23</v>
      </c>
      <c r="C109" s="7" t="inlineStr">
        <is>
          <t>Sarah</t>
        </is>
      </c>
      <c r="D109" s="7" t="inlineStr">
        <is>
          <t>Adams</t>
        </is>
      </c>
      <c r="E109" s="7" t="inlineStr">
        <is>
          <t>After-School Tutoring</t>
        </is>
      </c>
      <c r="F109" s="19" t="n">
        <v>6.2</v>
      </c>
      <c r="G109" s="7" t="inlineStr">
        <is>
          <t>2026-02-03</t>
        </is>
      </c>
      <c r="H109" s="7" t="inlineStr">
        <is>
          <t>Ran extra 30 min</t>
        </is>
      </c>
      <c r="I109" s="7" t="inlineStr">
        <is>
          <t>Yes</t>
        </is>
      </c>
    </row>
    <row r="110" ht="17" customHeight="1">
      <c r="A110" s="5" t="n">
        <v>107</v>
      </c>
      <c r="B110" s="5" t="n">
        <v>24</v>
      </c>
      <c r="C110" s="5" t="inlineStr">
        <is>
          <t>Matthew</t>
        </is>
      </c>
      <c r="D110" s="5" t="inlineStr">
        <is>
          <t>Wright</t>
        </is>
      </c>
      <c r="E110" s="5" t="inlineStr">
        <is>
          <t>Food Bank</t>
        </is>
      </c>
      <c r="F110" s="16" t="n">
        <v>5.4</v>
      </c>
      <c r="G110" s="5" t="inlineStr">
        <is>
          <t>2025-08-11</t>
        </is>
      </c>
      <c r="H110" s="5" t="inlineStr">
        <is>
          <t>Ran extra 30 min</t>
        </is>
      </c>
      <c r="I110" s="5" t="inlineStr">
        <is>
          <t>Yes</t>
        </is>
      </c>
    </row>
    <row r="111" ht="17" customHeight="1">
      <c r="A111" s="7" t="n">
        <v>108</v>
      </c>
      <c r="B111" s="7" t="n">
        <v>24</v>
      </c>
      <c r="C111" s="7" t="inlineStr">
        <is>
          <t>Matthew</t>
        </is>
      </c>
      <c r="D111" s="7" t="inlineStr">
        <is>
          <t>Wright</t>
        </is>
      </c>
      <c r="E111" s="7" t="inlineStr">
        <is>
          <t>Environmental Cleanup</t>
        </is>
      </c>
      <c r="F111" s="19" t="n">
        <v>4</v>
      </c>
      <c r="G111" s="7" t="inlineStr">
        <is>
          <t>2026-03-13</t>
        </is>
      </c>
      <c r="H111" s="7" t="inlineStr">
        <is>
          <t>On time, very helpful</t>
        </is>
      </c>
      <c r="I111" s="7" t="inlineStr">
        <is>
          <t>Yes</t>
        </is>
      </c>
    </row>
    <row r="112" ht="17" customHeight="1">
      <c r="A112" s="5" t="n">
        <v>109</v>
      </c>
      <c r="B112" s="5" t="n">
        <v>24</v>
      </c>
      <c r="C112" s="5" t="inlineStr">
        <is>
          <t>Matthew</t>
        </is>
      </c>
      <c r="D112" s="5" t="inlineStr">
        <is>
          <t>Wright</t>
        </is>
      </c>
      <c r="E112" s="5" t="inlineStr">
        <is>
          <t>Environmental Cleanup</t>
        </is>
      </c>
      <c r="F112" s="16" t="n">
        <v>2.7</v>
      </c>
      <c r="G112" s="5" t="inlineStr">
        <is>
          <t>2026-03-06</t>
        </is>
      </c>
      <c r="H112" s="5" t="inlineStr">
        <is>
          <t>Ran extra 30 min</t>
        </is>
      </c>
      <c r="I112" s="5" t="inlineStr">
        <is>
          <t>Yes</t>
        </is>
      </c>
    </row>
    <row r="113" ht="17" customHeight="1">
      <c r="A113" s="7" t="n">
        <v>110</v>
      </c>
      <c r="B113" s="7" t="n">
        <v>25</v>
      </c>
      <c r="C113" s="7" t="inlineStr">
        <is>
          <t>James</t>
        </is>
      </c>
      <c r="D113" s="7" t="inlineStr">
        <is>
          <t>Mitchell</t>
        </is>
      </c>
      <c r="E113" s="7" t="inlineStr">
        <is>
          <t>Youth Literacy</t>
        </is>
      </c>
      <c r="F113" s="19" t="n">
        <v>5.5</v>
      </c>
      <c r="G113" s="7" t="inlineStr">
        <is>
          <t>2025-04-22</t>
        </is>
      </c>
      <c r="H113" s="7" t="inlineStr">
        <is>
          <t>Great session</t>
        </is>
      </c>
      <c r="I113" s="7" t="inlineStr">
        <is>
          <t>Yes</t>
        </is>
      </c>
    </row>
    <row r="114" ht="17" customHeight="1">
      <c r="A114" s="5" t="n">
        <v>111</v>
      </c>
      <c r="B114" s="5" t="n">
        <v>25</v>
      </c>
      <c r="C114" s="5" t="inlineStr">
        <is>
          <t>James</t>
        </is>
      </c>
      <c r="D114" s="5" t="inlineStr">
        <is>
          <t>Mitchell</t>
        </is>
      </c>
      <c r="E114" s="5" t="inlineStr">
        <is>
          <t>Elder Care</t>
        </is>
      </c>
      <c r="F114" s="16" t="n">
        <v>2.9</v>
      </c>
      <c r="G114" s="5" t="inlineStr">
        <is>
          <t>2025-06-24</t>
        </is>
      </c>
      <c r="H114" s="5" t="inlineStr">
        <is>
          <t>On time, very helpful</t>
        </is>
      </c>
      <c r="I114" s="5" t="inlineStr">
        <is>
          <t>Yes</t>
        </is>
      </c>
    </row>
    <row r="115" ht="17" customHeight="1">
      <c r="A115" s="7" t="n">
        <v>112</v>
      </c>
      <c r="B115" s="7" t="n">
        <v>25</v>
      </c>
      <c r="C115" s="7" t="inlineStr">
        <is>
          <t>James</t>
        </is>
      </c>
      <c r="D115" s="7" t="inlineStr">
        <is>
          <t>Mitchell</t>
        </is>
      </c>
      <c r="E115" s="7" t="inlineStr">
        <is>
          <t>Youth Literacy</t>
        </is>
      </c>
      <c r="F115" s="19" t="n">
        <v>8</v>
      </c>
      <c r="G115" s="7" t="inlineStr">
        <is>
          <t>2026-02-07</t>
        </is>
      </c>
      <c r="H115" s="7" t="inlineStr"/>
      <c r="I115" s="7" t="inlineStr">
        <is>
          <t>Yes</t>
        </is>
      </c>
    </row>
    <row r="116" ht="17" customHeight="1">
      <c r="A116" s="5" t="n">
        <v>113</v>
      </c>
      <c r="B116" s="5" t="n">
        <v>25</v>
      </c>
      <c r="C116" s="5" t="inlineStr">
        <is>
          <t>James</t>
        </is>
      </c>
      <c r="D116" s="5" t="inlineStr">
        <is>
          <t>Mitchell</t>
        </is>
      </c>
      <c r="E116" s="5" t="inlineStr">
        <is>
          <t>Job Training</t>
        </is>
      </c>
      <c r="F116" s="16" t="n">
        <v>5.6</v>
      </c>
      <c r="G116" s="5" t="inlineStr">
        <is>
          <t>2025-05-27</t>
        </is>
      </c>
      <c r="H116" s="5" t="inlineStr">
        <is>
          <t>Completed all tasks</t>
        </is>
      </c>
      <c r="I116" s="5" t="inlineStr">
        <is>
          <t>Yes</t>
        </is>
      </c>
    </row>
    <row r="117" ht="17" customHeight="1">
      <c r="A117" s="7" t="n">
        <v>114</v>
      </c>
      <c r="B117" s="7" t="n">
        <v>25</v>
      </c>
      <c r="C117" s="7" t="inlineStr">
        <is>
          <t>James</t>
        </is>
      </c>
      <c r="D117" s="7" t="inlineStr">
        <is>
          <t>Mitchell</t>
        </is>
      </c>
      <c r="E117" s="7" t="inlineStr">
        <is>
          <t>Job Training</t>
        </is>
      </c>
      <c r="F117" s="19" t="n">
        <v>4.7</v>
      </c>
      <c r="G117" s="7" t="inlineStr">
        <is>
          <t>2025-08-25</t>
        </is>
      </c>
      <c r="H117" s="7" t="inlineStr">
        <is>
          <t>On time, very helpful</t>
        </is>
      </c>
      <c r="I117" s="7" t="inlineStr">
        <is>
          <t>Yes</t>
        </is>
      </c>
    </row>
    <row r="118" ht="17" customHeight="1">
      <c r="A118" s="5" t="n">
        <v>115</v>
      </c>
      <c r="B118" s="5" t="n">
        <v>25</v>
      </c>
      <c r="C118" s="5" t="inlineStr">
        <is>
          <t>James</t>
        </is>
      </c>
      <c r="D118" s="5" t="inlineStr">
        <is>
          <t>Mitchell</t>
        </is>
      </c>
      <c r="E118" s="5" t="inlineStr">
        <is>
          <t>Job Training</t>
        </is>
      </c>
      <c r="F118" s="16" t="n">
        <v>3.8</v>
      </c>
      <c r="G118" s="5" t="inlineStr">
        <is>
          <t>2025-05-26</t>
        </is>
      </c>
      <c r="H118" s="5" t="inlineStr">
        <is>
          <t>Great session</t>
        </is>
      </c>
      <c r="I118" s="5" t="inlineStr">
        <is>
          <t>Yes</t>
        </is>
      </c>
    </row>
    <row r="119" ht="17" customHeight="1">
      <c r="A119" s="7" t="n">
        <v>116</v>
      </c>
      <c r="B119" s="7" t="n">
        <v>25</v>
      </c>
      <c r="C119" s="7" t="inlineStr">
        <is>
          <t>James</t>
        </is>
      </c>
      <c r="D119" s="7" t="inlineStr">
        <is>
          <t>Mitchell</t>
        </is>
      </c>
      <c r="E119" s="7" t="inlineStr">
        <is>
          <t>Youth Literacy</t>
        </is>
      </c>
      <c r="F119" s="19" t="n">
        <v>7.7</v>
      </c>
      <c r="G119" s="7" t="inlineStr">
        <is>
          <t>2025-12-23</t>
        </is>
      </c>
      <c r="H119" s="7" t="inlineStr">
        <is>
          <t>Completed all tasks</t>
        </is>
      </c>
      <c r="I119" s="7" t="inlineStr">
        <is>
          <t>Yes</t>
        </is>
      </c>
    </row>
    <row r="120" ht="17" customHeight="1">
      <c r="A120" s="5" t="n">
        <v>117</v>
      </c>
      <c r="B120" s="5" t="n">
        <v>25</v>
      </c>
      <c r="C120" s="5" t="inlineStr">
        <is>
          <t>James</t>
        </is>
      </c>
      <c r="D120" s="5" t="inlineStr">
        <is>
          <t>Mitchell</t>
        </is>
      </c>
      <c r="E120" s="5" t="inlineStr">
        <is>
          <t>After-School Tutoring</t>
        </is>
      </c>
      <c r="F120" s="16" t="n">
        <v>6</v>
      </c>
      <c r="G120" s="5" t="inlineStr">
        <is>
          <t>2026-01-18</t>
        </is>
      </c>
      <c r="H120" s="5" t="inlineStr">
        <is>
          <t>Completed all tasks</t>
        </is>
      </c>
      <c r="I120" s="5" t="inlineStr">
        <is>
          <t>Yes</t>
        </is>
      </c>
    </row>
    <row r="121" ht="17" customHeight="1">
      <c r="A121" s="7" t="n">
        <v>118</v>
      </c>
      <c r="B121" s="7" t="n">
        <v>25</v>
      </c>
      <c r="C121" s="7" t="inlineStr">
        <is>
          <t>James</t>
        </is>
      </c>
      <c r="D121" s="7" t="inlineStr">
        <is>
          <t>Mitchell</t>
        </is>
      </c>
      <c r="E121" s="7" t="inlineStr">
        <is>
          <t>Elder Care</t>
        </is>
      </c>
      <c r="F121" s="19" t="n">
        <v>5.3</v>
      </c>
      <c r="G121" s="7" t="inlineStr">
        <is>
          <t>2026-01-18</t>
        </is>
      </c>
      <c r="H121" s="7" t="inlineStr">
        <is>
          <t>Great session</t>
        </is>
      </c>
      <c r="I121" s="7" t="inlineStr">
        <is>
          <t>Yes</t>
        </is>
      </c>
    </row>
    <row r="122" ht="17" customHeight="1">
      <c r="A122" s="5" t="n">
        <v>119</v>
      </c>
      <c r="B122" s="5" t="n">
        <v>26</v>
      </c>
      <c r="C122" s="5" t="inlineStr">
        <is>
          <t>Robert</t>
        </is>
      </c>
      <c r="D122" s="5" t="inlineStr">
        <is>
          <t>White</t>
        </is>
      </c>
      <c r="E122" s="5" t="inlineStr">
        <is>
          <t>Environmental Cleanup</t>
        </is>
      </c>
      <c r="F122" s="16" t="n">
        <v>6.1</v>
      </c>
      <c r="G122" s="5" t="inlineStr">
        <is>
          <t>2025-08-11</t>
        </is>
      </c>
      <c r="H122" s="5" t="inlineStr">
        <is>
          <t>On time, very helpful</t>
        </is>
      </c>
      <c r="I122" s="5" t="inlineStr">
        <is>
          <t>Yes</t>
        </is>
      </c>
    </row>
    <row r="123" ht="17" customHeight="1">
      <c r="A123" s="7" t="n">
        <v>120</v>
      </c>
      <c r="B123" s="7" t="n">
        <v>26</v>
      </c>
      <c r="C123" s="7" t="inlineStr">
        <is>
          <t>Robert</t>
        </is>
      </c>
      <c r="D123" s="7" t="inlineStr">
        <is>
          <t>White</t>
        </is>
      </c>
      <c r="E123" s="7" t="inlineStr">
        <is>
          <t>Food Bank</t>
        </is>
      </c>
      <c r="F123" s="19" t="n">
        <v>3.4</v>
      </c>
      <c r="G123" s="7" t="inlineStr">
        <is>
          <t>2025-04-12</t>
        </is>
      </c>
      <c r="H123" s="7" t="inlineStr">
        <is>
          <t>On time, very helpful</t>
        </is>
      </c>
      <c r="I123" s="7" t="inlineStr">
        <is>
          <t>Yes</t>
        </is>
      </c>
    </row>
    <row r="124" ht="17" customHeight="1">
      <c r="A124" s="5" t="n">
        <v>121</v>
      </c>
      <c r="B124" s="5" t="n">
        <v>26</v>
      </c>
      <c r="C124" s="5" t="inlineStr">
        <is>
          <t>Robert</t>
        </is>
      </c>
      <c r="D124" s="5" t="inlineStr">
        <is>
          <t>White</t>
        </is>
      </c>
      <c r="E124" s="5" t="inlineStr">
        <is>
          <t>Environmental Cleanup</t>
        </is>
      </c>
      <c r="F124" s="16" t="n">
        <v>2.4</v>
      </c>
      <c r="G124" s="5" t="inlineStr">
        <is>
          <t>2025-12-10</t>
        </is>
      </c>
      <c r="H124" s="5" t="inlineStr">
        <is>
          <t>On time, very helpful</t>
        </is>
      </c>
      <c r="I124" s="5" t="inlineStr">
        <is>
          <t>Yes</t>
        </is>
      </c>
    </row>
    <row r="125" ht="17" customHeight="1">
      <c r="A125" s="7" t="n">
        <v>122</v>
      </c>
      <c r="B125" s="7" t="n">
        <v>26</v>
      </c>
      <c r="C125" s="7" t="inlineStr">
        <is>
          <t>Robert</t>
        </is>
      </c>
      <c r="D125" s="7" t="inlineStr">
        <is>
          <t>White</t>
        </is>
      </c>
      <c r="E125" s="7" t="inlineStr">
        <is>
          <t>Community Garden</t>
        </is>
      </c>
      <c r="F125" s="19" t="n">
        <v>4.6</v>
      </c>
      <c r="G125" s="7" t="inlineStr">
        <is>
          <t>2025-07-04</t>
        </is>
      </c>
      <c r="H125" s="7" t="inlineStr">
        <is>
          <t>Completed all tasks</t>
        </is>
      </c>
      <c r="I125" s="7" t="inlineStr">
        <is>
          <t>Yes</t>
        </is>
      </c>
    </row>
    <row r="126" ht="17" customHeight="1">
      <c r="A126" s="5" t="n">
        <v>123</v>
      </c>
      <c r="B126" s="5" t="n">
        <v>26</v>
      </c>
      <c r="C126" s="5" t="inlineStr">
        <is>
          <t>Robert</t>
        </is>
      </c>
      <c r="D126" s="5" t="inlineStr">
        <is>
          <t>White</t>
        </is>
      </c>
      <c r="E126" s="5" t="inlineStr">
        <is>
          <t>Elder Care</t>
        </is>
      </c>
      <c r="F126" s="16" t="n">
        <v>7.5</v>
      </c>
      <c r="G126" s="5" t="inlineStr">
        <is>
          <t>2026-01-26</t>
        </is>
      </c>
      <c r="H126" s="5" t="inlineStr">
        <is>
          <t>Great session</t>
        </is>
      </c>
      <c r="I126" s="5" t="inlineStr">
        <is>
          <t>Yes</t>
        </is>
      </c>
    </row>
    <row r="127" ht="17" customHeight="1">
      <c r="A127" s="7" t="n">
        <v>124</v>
      </c>
      <c r="B127" s="7" t="n">
        <v>26</v>
      </c>
      <c r="C127" s="7" t="inlineStr">
        <is>
          <t>Robert</t>
        </is>
      </c>
      <c r="D127" s="7" t="inlineStr">
        <is>
          <t>White</t>
        </is>
      </c>
      <c r="E127" s="7" t="inlineStr">
        <is>
          <t>Food Bank</t>
        </is>
      </c>
      <c r="F127" s="19" t="n">
        <v>3</v>
      </c>
      <c r="G127" s="7" t="inlineStr">
        <is>
          <t>2025-11-02</t>
        </is>
      </c>
      <c r="H127" s="7" t="inlineStr"/>
      <c r="I127" s="7" t="inlineStr">
        <is>
          <t>Yes</t>
        </is>
      </c>
    </row>
    <row r="128" ht="17" customHeight="1">
      <c r="A128" s="5" t="n">
        <v>125</v>
      </c>
      <c r="B128" s="5" t="n">
        <v>26</v>
      </c>
      <c r="C128" s="5" t="inlineStr">
        <is>
          <t>Robert</t>
        </is>
      </c>
      <c r="D128" s="5" t="inlineStr">
        <is>
          <t>White</t>
        </is>
      </c>
      <c r="E128" s="5" t="inlineStr">
        <is>
          <t>After-School Tutoring</t>
        </is>
      </c>
      <c r="F128" s="16" t="n">
        <v>4.6</v>
      </c>
      <c r="G128" s="5" t="inlineStr">
        <is>
          <t>2025-08-12</t>
        </is>
      </c>
      <c r="H128" s="5" t="inlineStr">
        <is>
          <t>On time, very helpful</t>
        </is>
      </c>
      <c r="I128" s="5" t="inlineStr">
        <is>
          <t>Yes</t>
        </is>
      </c>
    </row>
    <row r="129" ht="17" customHeight="1">
      <c r="A129" s="7" t="n">
        <v>126</v>
      </c>
      <c r="B129" s="7" t="n">
        <v>26</v>
      </c>
      <c r="C129" s="7" t="inlineStr">
        <is>
          <t>Robert</t>
        </is>
      </c>
      <c r="D129" s="7" t="inlineStr">
        <is>
          <t>White</t>
        </is>
      </c>
      <c r="E129" s="7" t="inlineStr">
        <is>
          <t>Job Training</t>
        </is>
      </c>
      <c r="F129" s="19" t="n">
        <v>7.7</v>
      </c>
      <c r="G129" s="7" t="inlineStr">
        <is>
          <t>2025-07-26</t>
        </is>
      </c>
      <c r="H129" s="7" t="inlineStr"/>
      <c r="I129" s="7" t="inlineStr">
        <is>
          <t>Yes</t>
        </is>
      </c>
    </row>
    <row r="130" ht="17" customHeight="1">
      <c r="A130" s="5" t="n">
        <v>127</v>
      </c>
      <c r="B130" s="5" t="n">
        <v>28</v>
      </c>
      <c r="C130" s="5" t="inlineStr">
        <is>
          <t>Steven</t>
        </is>
      </c>
      <c r="D130" s="5" t="inlineStr">
        <is>
          <t>Harris</t>
        </is>
      </c>
      <c r="E130" s="5" t="inlineStr">
        <is>
          <t>Environmental Cleanup</t>
        </is>
      </c>
      <c r="F130" s="16" t="n">
        <v>2.5</v>
      </c>
      <c r="G130" s="5" t="inlineStr">
        <is>
          <t>2026-03-19</t>
        </is>
      </c>
      <c r="H130" s="5" t="inlineStr">
        <is>
          <t>Ran extra 30 min</t>
        </is>
      </c>
      <c r="I130" s="5" t="inlineStr">
        <is>
          <t>Yes</t>
        </is>
      </c>
    </row>
    <row r="131" ht="17" customHeight="1">
      <c r="A131" s="7" t="n">
        <v>128</v>
      </c>
      <c r="B131" s="7" t="n">
        <v>28</v>
      </c>
      <c r="C131" s="7" t="inlineStr">
        <is>
          <t>Steven</t>
        </is>
      </c>
      <c r="D131" s="7" t="inlineStr">
        <is>
          <t>Harris</t>
        </is>
      </c>
      <c r="E131" s="7" t="inlineStr">
        <is>
          <t>Mental Health Support</t>
        </is>
      </c>
      <c r="F131" s="19" t="n">
        <v>5.6</v>
      </c>
      <c r="G131" s="7" t="inlineStr">
        <is>
          <t>2026-03-26</t>
        </is>
      </c>
      <c r="H131" s="7" t="inlineStr">
        <is>
          <t>Great session</t>
        </is>
      </c>
      <c r="I131" s="7" t="inlineStr">
        <is>
          <t>Yes</t>
        </is>
      </c>
    </row>
    <row r="132" ht="17" customHeight="1">
      <c r="A132" s="5" t="n">
        <v>129</v>
      </c>
      <c r="B132" s="5" t="n">
        <v>28</v>
      </c>
      <c r="C132" s="5" t="inlineStr">
        <is>
          <t>Steven</t>
        </is>
      </c>
      <c r="D132" s="5" t="inlineStr">
        <is>
          <t>Harris</t>
        </is>
      </c>
      <c r="E132" s="5" t="inlineStr">
        <is>
          <t>Community Garden</t>
        </is>
      </c>
      <c r="F132" s="16" t="n">
        <v>7.8</v>
      </c>
      <c r="G132" s="5" t="inlineStr">
        <is>
          <t>2025-06-18</t>
        </is>
      </c>
      <c r="H132" s="5" t="inlineStr"/>
      <c r="I132" s="5" t="inlineStr">
        <is>
          <t>Yes</t>
        </is>
      </c>
    </row>
    <row r="133" ht="17" customHeight="1">
      <c r="A133" s="7" t="n">
        <v>130</v>
      </c>
      <c r="B133" s="7" t="n">
        <v>28</v>
      </c>
      <c r="C133" s="7" t="inlineStr">
        <is>
          <t>Steven</t>
        </is>
      </c>
      <c r="D133" s="7" t="inlineStr">
        <is>
          <t>Harris</t>
        </is>
      </c>
      <c r="E133" s="7" t="inlineStr">
        <is>
          <t>Food Bank</t>
        </is>
      </c>
      <c r="F133" s="19" t="n">
        <v>8</v>
      </c>
      <c r="G133" s="7" t="inlineStr">
        <is>
          <t>2025-04-29</t>
        </is>
      </c>
      <c r="H133" s="7" t="inlineStr">
        <is>
          <t>On time, very helpful</t>
        </is>
      </c>
      <c r="I133" s="7" t="inlineStr">
        <is>
          <t>Yes</t>
        </is>
      </c>
    </row>
    <row r="134" ht="17" customHeight="1">
      <c r="A134" s="5" t="n">
        <v>131</v>
      </c>
      <c r="B134" s="5" t="n">
        <v>28</v>
      </c>
      <c r="C134" s="5" t="inlineStr">
        <is>
          <t>Steven</t>
        </is>
      </c>
      <c r="D134" s="5" t="inlineStr">
        <is>
          <t>Harris</t>
        </is>
      </c>
      <c r="E134" s="5" t="inlineStr">
        <is>
          <t>Food Bank</t>
        </is>
      </c>
      <c r="F134" s="16" t="n">
        <v>6.6</v>
      </c>
      <c r="G134" s="5" t="inlineStr">
        <is>
          <t>2026-01-09</t>
        </is>
      </c>
      <c r="H134" s="5" t="inlineStr">
        <is>
          <t>Ran extra 30 min</t>
        </is>
      </c>
      <c r="I134" s="5" t="inlineStr">
        <is>
          <t>Yes</t>
        </is>
      </c>
    </row>
    <row r="135" ht="17" customHeight="1">
      <c r="A135" s="7" t="n">
        <v>132</v>
      </c>
      <c r="B135" s="7" t="n">
        <v>28</v>
      </c>
      <c r="C135" s="7" t="inlineStr">
        <is>
          <t>Steven</t>
        </is>
      </c>
      <c r="D135" s="7" t="inlineStr">
        <is>
          <t>Harris</t>
        </is>
      </c>
      <c r="E135" s="7" t="inlineStr">
        <is>
          <t>Environmental Cleanup</t>
        </is>
      </c>
      <c r="F135" s="19" t="n">
        <v>7.5</v>
      </c>
      <c r="G135" s="7" t="inlineStr">
        <is>
          <t>2026-01-06</t>
        </is>
      </c>
      <c r="H135" s="7" t="inlineStr"/>
      <c r="I135" s="7" t="inlineStr">
        <is>
          <t>Yes</t>
        </is>
      </c>
    </row>
    <row r="136" ht="17" customHeight="1">
      <c r="A136" s="5" t="n">
        <v>133</v>
      </c>
      <c r="B136" s="5" t="n">
        <v>28</v>
      </c>
      <c r="C136" s="5" t="inlineStr">
        <is>
          <t>Steven</t>
        </is>
      </c>
      <c r="D136" s="5" t="inlineStr">
        <is>
          <t>Harris</t>
        </is>
      </c>
      <c r="E136" s="5" t="inlineStr">
        <is>
          <t>Job Training</t>
        </is>
      </c>
      <c r="F136" s="16" t="n">
        <v>5.8</v>
      </c>
      <c r="G136" s="5" t="inlineStr">
        <is>
          <t>2025-07-31</t>
        </is>
      </c>
      <c r="H136" s="5" t="inlineStr">
        <is>
          <t>Great session</t>
        </is>
      </c>
      <c r="I136" s="5" t="inlineStr">
        <is>
          <t>Yes</t>
        </is>
      </c>
    </row>
    <row r="137" ht="17" customHeight="1">
      <c r="A137" s="7" t="n">
        <v>134</v>
      </c>
      <c r="B137" s="7" t="n">
        <v>28</v>
      </c>
      <c r="C137" s="7" t="inlineStr">
        <is>
          <t>Steven</t>
        </is>
      </c>
      <c r="D137" s="7" t="inlineStr">
        <is>
          <t>Harris</t>
        </is>
      </c>
      <c r="E137" s="7" t="inlineStr">
        <is>
          <t>Environmental Cleanup</t>
        </is>
      </c>
      <c r="F137" s="19" t="n">
        <v>4.1</v>
      </c>
      <c r="G137" s="7" t="inlineStr">
        <is>
          <t>2025-10-20</t>
        </is>
      </c>
      <c r="H137" s="7" t="inlineStr">
        <is>
          <t>On time, very helpful</t>
        </is>
      </c>
      <c r="I137" s="7" t="inlineStr">
        <is>
          <t>Yes</t>
        </is>
      </c>
    </row>
    <row r="138" ht="17" customHeight="1">
      <c r="A138" s="5" t="n">
        <v>135</v>
      </c>
      <c r="B138" s="5" t="n">
        <v>28</v>
      </c>
      <c r="C138" s="5" t="inlineStr">
        <is>
          <t>Steven</t>
        </is>
      </c>
      <c r="D138" s="5" t="inlineStr">
        <is>
          <t>Harris</t>
        </is>
      </c>
      <c r="E138" s="5" t="inlineStr">
        <is>
          <t>Youth Literacy</t>
        </is>
      </c>
      <c r="F138" s="16" t="n">
        <v>7.1</v>
      </c>
      <c r="G138" s="5" t="inlineStr">
        <is>
          <t>2025-10-22</t>
        </is>
      </c>
      <c r="H138" s="5" t="inlineStr">
        <is>
          <t>Ran extra 30 min</t>
        </is>
      </c>
      <c r="I138" s="5" t="inlineStr">
        <is>
          <t>Yes</t>
        </is>
      </c>
    </row>
    <row r="139" ht="17" customHeight="1">
      <c r="A139" s="7" t="n">
        <v>136</v>
      </c>
      <c r="B139" s="7" t="n">
        <v>29</v>
      </c>
      <c r="C139" s="7" t="inlineStr">
        <is>
          <t>Sandra</t>
        </is>
      </c>
      <c r="D139" s="7" t="inlineStr">
        <is>
          <t>Lewis</t>
        </is>
      </c>
      <c r="E139" s="7" t="inlineStr">
        <is>
          <t>After-School Tutoring</t>
        </is>
      </c>
      <c r="F139" s="19" t="n">
        <v>6</v>
      </c>
      <c r="G139" s="7" t="inlineStr">
        <is>
          <t>2025-09-15</t>
        </is>
      </c>
      <c r="H139" s="7" t="inlineStr"/>
      <c r="I139" s="7" t="inlineStr">
        <is>
          <t>Yes</t>
        </is>
      </c>
    </row>
    <row r="140" ht="17" customHeight="1">
      <c r="A140" s="5" t="n">
        <v>137</v>
      </c>
      <c r="B140" s="5" t="n">
        <v>29</v>
      </c>
      <c r="C140" s="5" t="inlineStr">
        <is>
          <t>Sandra</t>
        </is>
      </c>
      <c r="D140" s="5" t="inlineStr">
        <is>
          <t>Lewis</t>
        </is>
      </c>
      <c r="E140" s="5" t="inlineStr">
        <is>
          <t>Food Bank</t>
        </is>
      </c>
      <c r="F140" s="16" t="n">
        <v>4.7</v>
      </c>
      <c r="G140" s="5" t="inlineStr">
        <is>
          <t>2025-10-29</t>
        </is>
      </c>
      <c r="H140" s="5" t="inlineStr">
        <is>
          <t>On time, very helpful</t>
        </is>
      </c>
      <c r="I140" s="5" t="inlineStr">
        <is>
          <t>Yes</t>
        </is>
      </c>
    </row>
    <row r="141" ht="17" customHeight="1">
      <c r="A141" s="7" t="n">
        <v>138</v>
      </c>
      <c r="B141" s="7" t="n">
        <v>29</v>
      </c>
      <c r="C141" s="7" t="inlineStr">
        <is>
          <t>Sandra</t>
        </is>
      </c>
      <c r="D141" s="7" t="inlineStr">
        <is>
          <t>Lewis</t>
        </is>
      </c>
      <c r="E141" s="7" t="inlineStr">
        <is>
          <t>Mental Health Support</t>
        </is>
      </c>
      <c r="F141" s="19" t="n">
        <v>2.7</v>
      </c>
      <c r="G141" s="7" t="inlineStr">
        <is>
          <t>2025-09-14</t>
        </is>
      </c>
      <c r="H141" s="7" t="inlineStr"/>
      <c r="I141" s="7" t="inlineStr">
        <is>
          <t>Yes</t>
        </is>
      </c>
    </row>
    <row r="142" ht="17" customHeight="1">
      <c r="A142" s="5" t="n">
        <v>139</v>
      </c>
      <c r="B142" s="5" t="n">
        <v>29</v>
      </c>
      <c r="C142" s="5" t="inlineStr">
        <is>
          <t>Sandra</t>
        </is>
      </c>
      <c r="D142" s="5" t="inlineStr">
        <is>
          <t>Lewis</t>
        </is>
      </c>
      <c r="E142" s="5" t="inlineStr">
        <is>
          <t>Food Bank</t>
        </is>
      </c>
      <c r="F142" s="16" t="n">
        <v>5.9</v>
      </c>
      <c r="G142" s="5" t="inlineStr">
        <is>
          <t>2025-07-05</t>
        </is>
      </c>
      <c r="H142" s="5" t="inlineStr">
        <is>
          <t>Ran extra 30 min</t>
        </is>
      </c>
      <c r="I142" s="5" t="inlineStr">
        <is>
          <t>Yes</t>
        </is>
      </c>
    </row>
    <row r="143" ht="17" customHeight="1">
      <c r="A143" s="7" t="n">
        <v>140</v>
      </c>
      <c r="B143" s="7" t="n">
        <v>29</v>
      </c>
      <c r="C143" s="7" t="inlineStr">
        <is>
          <t>Sandra</t>
        </is>
      </c>
      <c r="D143" s="7" t="inlineStr">
        <is>
          <t>Lewis</t>
        </is>
      </c>
      <c r="E143" s="7" t="inlineStr">
        <is>
          <t>Job Training</t>
        </is>
      </c>
      <c r="F143" s="19" t="n">
        <v>2.3</v>
      </c>
      <c r="G143" s="7" t="inlineStr">
        <is>
          <t>2025-07-17</t>
        </is>
      </c>
      <c r="H143" s="7" t="inlineStr">
        <is>
          <t>On time, very helpful</t>
        </is>
      </c>
      <c r="I143" s="7" t="inlineStr">
        <is>
          <t>Yes</t>
        </is>
      </c>
    </row>
    <row r="144" ht="17" customHeight="1">
      <c r="A144" s="5" t="n">
        <v>141</v>
      </c>
      <c r="B144" s="5" t="n">
        <v>29</v>
      </c>
      <c r="C144" s="5" t="inlineStr">
        <is>
          <t>Sandra</t>
        </is>
      </c>
      <c r="D144" s="5" t="inlineStr">
        <is>
          <t>Lewis</t>
        </is>
      </c>
      <c r="E144" s="5" t="inlineStr">
        <is>
          <t>Environmental Cleanup</t>
        </is>
      </c>
      <c r="F144" s="16" t="n">
        <v>5.8</v>
      </c>
      <c r="G144" s="5" t="inlineStr">
        <is>
          <t>2026-03-13</t>
        </is>
      </c>
      <c r="H144" s="5" t="inlineStr">
        <is>
          <t>Completed all tasks</t>
        </is>
      </c>
      <c r="I144" s="5" t="inlineStr">
        <is>
          <t>Yes</t>
        </is>
      </c>
    </row>
    <row r="145" ht="17" customHeight="1">
      <c r="A145" s="7" t="n">
        <v>142</v>
      </c>
      <c r="B145" s="7" t="n">
        <v>29</v>
      </c>
      <c r="C145" s="7" t="inlineStr">
        <is>
          <t>Sandra</t>
        </is>
      </c>
      <c r="D145" s="7" t="inlineStr">
        <is>
          <t>Lewis</t>
        </is>
      </c>
      <c r="E145" s="7" t="inlineStr">
        <is>
          <t>After-School Tutoring</t>
        </is>
      </c>
      <c r="F145" s="19" t="n">
        <v>5.3</v>
      </c>
      <c r="G145" s="7" t="inlineStr">
        <is>
          <t>2025-11-12</t>
        </is>
      </c>
      <c r="H145" s="7" t="inlineStr">
        <is>
          <t>Ran extra 30 min</t>
        </is>
      </c>
      <c r="I145" s="7" t="inlineStr">
        <is>
          <t>Yes</t>
        </is>
      </c>
    </row>
    <row r="146" ht="17" customHeight="1">
      <c r="A146" s="5" t="n">
        <v>143</v>
      </c>
      <c r="B146" s="5" t="n">
        <v>29</v>
      </c>
      <c r="C146" s="5" t="inlineStr">
        <is>
          <t>Sandra</t>
        </is>
      </c>
      <c r="D146" s="5" t="inlineStr">
        <is>
          <t>Lewis</t>
        </is>
      </c>
      <c r="E146" s="5" t="inlineStr">
        <is>
          <t>Environmental Cleanup</t>
        </is>
      </c>
      <c r="F146" s="16" t="n">
        <v>2.7</v>
      </c>
      <c r="G146" s="5" t="inlineStr">
        <is>
          <t>2025-05-21</t>
        </is>
      </c>
      <c r="H146" s="5" t="inlineStr"/>
      <c r="I146" s="5" t="inlineStr">
        <is>
          <t>Yes</t>
        </is>
      </c>
    </row>
    <row r="147" ht="17" customHeight="1">
      <c r="A147" s="7" t="n">
        <v>144</v>
      </c>
      <c r="B147" s="7" t="n">
        <v>29</v>
      </c>
      <c r="C147" s="7" t="inlineStr">
        <is>
          <t>Sandra</t>
        </is>
      </c>
      <c r="D147" s="7" t="inlineStr">
        <is>
          <t>Lewis</t>
        </is>
      </c>
      <c r="E147" s="7" t="inlineStr">
        <is>
          <t>Community Garden</t>
        </is>
      </c>
      <c r="F147" s="19" t="n">
        <v>6.3</v>
      </c>
      <c r="G147" s="7" t="inlineStr">
        <is>
          <t>2025-10-31</t>
        </is>
      </c>
      <c r="H147" s="7" t="inlineStr"/>
      <c r="I147" s="7" t="inlineStr">
        <is>
          <t>Yes</t>
        </is>
      </c>
    </row>
    <row r="148" ht="17" customHeight="1">
      <c r="A148" s="5" t="n">
        <v>145</v>
      </c>
      <c r="B148" s="5" t="n">
        <v>31</v>
      </c>
      <c r="C148" s="5" t="inlineStr">
        <is>
          <t>Richard</t>
        </is>
      </c>
      <c r="D148" s="5" t="inlineStr">
        <is>
          <t>Garcia</t>
        </is>
      </c>
      <c r="E148" s="5" t="inlineStr">
        <is>
          <t>Job Training</t>
        </is>
      </c>
      <c r="F148" s="16" t="n">
        <v>2.6</v>
      </c>
      <c r="G148" s="5" t="inlineStr">
        <is>
          <t>2026-02-09</t>
        </is>
      </c>
      <c r="H148" s="5" t="inlineStr">
        <is>
          <t>Ran extra 30 min</t>
        </is>
      </c>
      <c r="I148" s="5" t="inlineStr">
        <is>
          <t>Yes</t>
        </is>
      </c>
    </row>
    <row r="149" ht="17" customHeight="1">
      <c r="A149" s="7" t="n">
        <v>146</v>
      </c>
      <c r="B149" s="7" t="n">
        <v>31</v>
      </c>
      <c r="C149" s="7" t="inlineStr">
        <is>
          <t>Richard</t>
        </is>
      </c>
      <c r="D149" s="7" t="inlineStr">
        <is>
          <t>Garcia</t>
        </is>
      </c>
      <c r="E149" s="7" t="inlineStr">
        <is>
          <t>Youth Literacy</t>
        </is>
      </c>
      <c r="F149" s="19" t="n">
        <v>5.9</v>
      </c>
      <c r="G149" s="7" t="inlineStr">
        <is>
          <t>2026-01-20</t>
        </is>
      </c>
      <c r="H149" s="7" t="inlineStr">
        <is>
          <t>Ran extra 30 min</t>
        </is>
      </c>
      <c r="I149" s="7" t="inlineStr">
        <is>
          <t>Yes</t>
        </is>
      </c>
    </row>
    <row r="150" ht="17" customHeight="1">
      <c r="A150" s="5" t="n">
        <v>147</v>
      </c>
      <c r="B150" s="5" t="n">
        <v>32</v>
      </c>
      <c r="C150" s="5" t="inlineStr">
        <is>
          <t>Robert</t>
        </is>
      </c>
      <c r="D150" s="5" t="inlineStr">
        <is>
          <t>Baker</t>
        </is>
      </c>
      <c r="E150" s="5" t="inlineStr">
        <is>
          <t>After-School Tutoring</t>
        </is>
      </c>
      <c r="F150" s="16" t="n">
        <v>4.5</v>
      </c>
      <c r="G150" s="5" t="inlineStr">
        <is>
          <t>2025-08-04</t>
        </is>
      </c>
      <c r="H150" s="5" t="inlineStr">
        <is>
          <t>Ran extra 30 min</t>
        </is>
      </c>
      <c r="I150" s="5" t="inlineStr">
        <is>
          <t>Yes</t>
        </is>
      </c>
    </row>
    <row r="151" ht="17" customHeight="1">
      <c r="A151" s="7" t="n">
        <v>148</v>
      </c>
      <c r="B151" s="7" t="n">
        <v>32</v>
      </c>
      <c r="C151" s="7" t="inlineStr">
        <is>
          <t>Robert</t>
        </is>
      </c>
      <c r="D151" s="7" t="inlineStr">
        <is>
          <t>Baker</t>
        </is>
      </c>
      <c r="E151" s="7" t="inlineStr">
        <is>
          <t>Community Garden</t>
        </is>
      </c>
      <c r="F151" s="19" t="n">
        <v>4.7</v>
      </c>
      <c r="G151" s="7" t="inlineStr">
        <is>
          <t>2026-01-24</t>
        </is>
      </c>
      <c r="H151" s="7" t="inlineStr">
        <is>
          <t>Ran extra 30 min</t>
        </is>
      </c>
      <c r="I151" s="7" t="inlineStr">
        <is>
          <t>Yes</t>
        </is>
      </c>
    </row>
    <row r="152" ht="17" customHeight="1">
      <c r="A152" s="5" t="n">
        <v>149</v>
      </c>
      <c r="B152" s="5" t="n">
        <v>32</v>
      </c>
      <c r="C152" s="5" t="inlineStr">
        <is>
          <t>Robert</t>
        </is>
      </c>
      <c r="D152" s="5" t="inlineStr">
        <is>
          <t>Baker</t>
        </is>
      </c>
      <c r="E152" s="5" t="inlineStr">
        <is>
          <t>Community Garden</t>
        </is>
      </c>
      <c r="F152" s="16" t="n">
        <v>7.5</v>
      </c>
      <c r="G152" s="5" t="inlineStr">
        <is>
          <t>2025-07-22</t>
        </is>
      </c>
      <c r="H152" s="5" t="inlineStr">
        <is>
          <t>Completed all tasks</t>
        </is>
      </c>
      <c r="I152" s="5" t="inlineStr">
        <is>
          <t>Yes</t>
        </is>
      </c>
    </row>
    <row r="153" ht="17" customHeight="1">
      <c r="A153" s="7" t="n">
        <v>150</v>
      </c>
      <c r="B153" s="7" t="n">
        <v>32</v>
      </c>
      <c r="C153" s="7" t="inlineStr">
        <is>
          <t>Robert</t>
        </is>
      </c>
      <c r="D153" s="7" t="inlineStr">
        <is>
          <t>Baker</t>
        </is>
      </c>
      <c r="E153" s="7" t="inlineStr">
        <is>
          <t>Youth Literacy</t>
        </is>
      </c>
      <c r="F153" s="19" t="n">
        <v>3.7</v>
      </c>
      <c r="G153" s="7" t="inlineStr">
        <is>
          <t>2025-09-08</t>
        </is>
      </c>
      <c r="H153" s="7" t="inlineStr">
        <is>
          <t>On time, very helpful</t>
        </is>
      </c>
      <c r="I153" s="7" t="inlineStr">
        <is>
          <t>Yes</t>
        </is>
      </c>
    </row>
    <row r="154" ht="17" customHeight="1">
      <c r="A154" s="5" t="n">
        <v>151</v>
      </c>
      <c r="B154" s="5" t="n">
        <v>32</v>
      </c>
      <c r="C154" s="5" t="inlineStr">
        <is>
          <t>Robert</t>
        </is>
      </c>
      <c r="D154" s="5" t="inlineStr">
        <is>
          <t>Baker</t>
        </is>
      </c>
      <c r="E154" s="5" t="inlineStr">
        <is>
          <t>After-School Tutoring</t>
        </is>
      </c>
      <c r="F154" s="16" t="n">
        <v>6.9</v>
      </c>
      <c r="G154" s="5" t="inlineStr">
        <is>
          <t>2025-11-15</t>
        </is>
      </c>
      <c r="H154" s="5" t="inlineStr">
        <is>
          <t>On time, very helpful</t>
        </is>
      </c>
      <c r="I154" s="5" t="inlineStr">
        <is>
          <t>Yes</t>
        </is>
      </c>
    </row>
    <row r="155" ht="17" customHeight="1">
      <c r="A155" s="7" t="n">
        <v>152</v>
      </c>
      <c r="B155" s="7" t="n">
        <v>32</v>
      </c>
      <c r="C155" s="7" t="inlineStr">
        <is>
          <t>Robert</t>
        </is>
      </c>
      <c r="D155" s="7" t="inlineStr">
        <is>
          <t>Baker</t>
        </is>
      </c>
      <c r="E155" s="7" t="inlineStr">
        <is>
          <t>Environmental Cleanup</t>
        </is>
      </c>
      <c r="F155" s="19" t="n">
        <v>7.2</v>
      </c>
      <c r="G155" s="7" t="inlineStr">
        <is>
          <t>2025-08-23</t>
        </is>
      </c>
      <c r="H155" s="7" t="inlineStr"/>
      <c r="I155" s="7" t="inlineStr">
        <is>
          <t>Yes</t>
        </is>
      </c>
    </row>
    <row r="156" ht="17" customHeight="1">
      <c r="A156" s="5" t="n">
        <v>153</v>
      </c>
      <c r="B156" s="5" t="n">
        <v>34</v>
      </c>
      <c r="C156" s="5" t="inlineStr">
        <is>
          <t>Maria</t>
        </is>
      </c>
      <c r="D156" s="5" t="inlineStr">
        <is>
          <t>Hall</t>
        </is>
      </c>
      <c r="E156" s="5" t="inlineStr">
        <is>
          <t>Mental Health Support</t>
        </is>
      </c>
      <c r="F156" s="16" t="n">
        <v>4</v>
      </c>
      <c r="G156" s="5" t="inlineStr">
        <is>
          <t>2025-07-04</t>
        </is>
      </c>
      <c r="H156" s="5" t="inlineStr">
        <is>
          <t>Ran extra 30 min</t>
        </is>
      </c>
      <c r="I156" s="5" t="inlineStr">
        <is>
          <t>Yes</t>
        </is>
      </c>
    </row>
    <row r="157" ht="17" customHeight="1">
      <c r="A157" s="7" t="n">
        <v>154</v>
      </c>
      <c r="B157" s="7" t="n">
        <v>34</v>
      </c>
      <c r="C157" s="7" t="inlineStr">
        <is>
          <t>Maria</t>
        </is>
      </c>
      <c r="D157" s="7" t="inlineStr">
        <is>
          <t>Hall</t>
        </is>
      </c>
      <c r="E157" s="7" t="inlineStr">
        <is>
          <t>Environmental Cleanup</t>
        </is>
      </c>
      <c r="F157" s="19" t="n">
        <v>7.6</v>
      </c>
      <c r="G157" s="7" t="inlineStr">
        <is>
          <t>2026-01-02</t>
        </is>
      </c>
      <c r="H157" s="7" t="inlineStr">
        <is>
          <t>Completed all tasks</t>
        </is>
      </c>
      <c r="I157" s="7" t="inlineStr">
        <is>
          <t>Yes</t>
        </is>
      </c>
    </row>
    <row r="158" ht="17" customHeight="1">
      <c r="A158" s="5" t="n">
        <v>155</v>
      </c>
      <c r="B158" s="5" t="n">
        <v>34</v>
      </c>
      <c r="C158" s="5" t="inlineStr">
        <is>
          <t>Maria</t>
        </is>
      </c>
      <c r="D158" s="5" t="inlineStr">
        <is>
          <t>Hall</t>
        </is>
      </c>
      <c r="E158" s="5" t="inlineStr">
        <is>
          <t>Job Training</t>
        </is>
      </c>
      <c r="F158" s="16" t="n">
        <v>3.4</v>
      </c>
      <c r="G158" s="5" t="inlineStr">
        <is>
          <t>2025-09-10</t>
        </is>
      </c>
      <c r="H158" s="5" t="inlineStr">
        <is>
          <t>Great session</t>
        </is>
      </c>
      <c r="I158" s="5" t="inlineStr">
        <is>
          <t>Yes</t>
        </is>
      </c>
    </row>
    <row r="159" ht="17" customHeight="1">
      <c r="A159" s="7" t="n">
        <v>156</v>
      </c>
      <c r="B159" s="7" t="n">
        <v>34</v>
      </c>
      <c r="C159" s="7" t="inlineStr">
        <is>
          <t>Maria</t>
        </is>
      </c>
      <c r="D159" s="7" t="inlineStr">
        <is>
          <t>Hall</t>
        </is>
      </c>
      <c r="E159" s="7" t="inlineStr">
        <is>
          <t>Mental Health Support</t>
        </is>
      </c>
      <c r="F159" s="19" t="n">
        <v>6.5</v>
      </c>
      <c r="G159" s="7" t="inlineStr">
        <is>
          <t>2025-04-12</t>
        </is>
      </c>
      <c r="H159" s="7" t="inlineStr">
        <is>
          <t>Ran extra 30 min</t>
        </is>
      </c>
      <c r="I159" s="7" t="inlineStr">
        <is>
          <t>Yes</t>
        </is>
      </c>
    </row>
    <row r="160" ht="17" customHeight="1">
      <c r="A160" s="5" t="n">
        <v>157</v>
      </c>
      <c r="B160" s="5" t="n">
        <v>34</v>
      </c>
      <c r="C160" s="5" t="inlineStr">
        <is>
          <t>Maria</t>
        </is>
      </c>
      <c r="D160" s="5" t="inlineStr">
        <is>
          <t>Hall</t>
        </is>
      </c>
      <c r="E160" s="5" t="inlineStr">
        <is>
          <t>Job Training</t>
        </is>
      </c>
      <c r="F160" s="16" t="n">
        <v>7.9</v>
      </c>
      <c r="G160" s="5" t="inlineStr">
        <is>
          <t>2025-05-10</t>
        </is>
      </c>
      <c r="H160" s="5" t="inlineStr">
        <is>
          <t>Completed all tasks</t>
        </is>
      </c>
      <c r="I160" s="5" t="inlineStr">
        <is>
          <t>Yes</t>
        </is>
      </c>
    </row>
    <row r="161" ht="17" customHeight="1">
      <c r="A161" s="7" t="n">
        <v>158</v>
      </c>
      <c r="B161" s="7" t="n">
        <v>34</v>
      </c>
      <c r="C161" s="7" t="inlineStr">
        <is>
          <t>Maria</t>
        </is>
      </c>
      <c r="D161" s="7" t="inlineStr">
        <is>
          <t>Hall</t>
        </is>
      </c>
      <c r="E161" s="7" t="inlineStr">
        <is>
          <t>Environmental Cleanup</t>
        </is>
      </c>
      <c r="F161" s="19" t="n">
        <v>7.8</v>
      </c>
      <c r="G161" s="7" t="inlineStr">
        <is>
          <t>2026-02-03</t>
        </is>
      </c>
      <c r="H161" s="7" t="inlineStr"/>
      <c r="I161" s="7" t="inlineStr">
        <is>
          <t>Yes</t>
        </is>
      </c>
    </row>
    <row r="162" ht="17" customHeight="1">
      <c r="A162" s="5" t="n">
        <v>159</v>
      </c>
      <c r="B162" s="5" t="n">
        <v>34</v>
      </c>
      <c r="C162" s="5" t="inlineStr">
        <is>
          <t>Maria</t>
        </is>
      </c>
      <c r="D162" s="5" t="inlineStr">
        <is>
          <t>Hall</t>
        </is>
      </c>
      <c r="E162" s="5" t="inlineStr">
        <is>
          <t>Mental Health Support</t>
        </is>
      </c>
      <c r="F162" s="16" t="n">
        <v>7.2</v>
      </c>
      <c r="G162" s="5" t="inlineStr">
        <is>
          <t>2025-08-26</t>
        </is>
      </c>
      <c r="H162" s="5" t="inlineStr">
        <is>
          <t>Great session</t>
        </is>
      </c>
      <c r="I162" s="5" t="inlineStr">
        <is>
          <t>Yes</t>
        </is>
      </c>
    </row>
    <row r="163" ht="17" customHeight="1">
      <c r="A163" s="7" t="n">
        <v>160</v>
      </c>
      <c r="B163" s="7" t="n">
        <v>34</v>
      </c>
      <c r="C163" s="7" t="inlineStr">
        <is>
          <t>Maria</t>
        </is>
      </c>
      <c r="D163" s="7" t="inlineStr">
        <is>
          <t>Hall</t>
        </is>
      </c>
      <c r="E163" s="7" t="inlineStr">
        <is>
          <t>Environmental Cleanup</t>
        </is>
      </c>
      <c r="F163" s="19" t="n">
        <v>2.1</v>
      </c>
      <c r="G163" s="7" t="inlineStr">
        <is>
          <t>2026-01-25</t>
        </is>
      </c>
      <c r="H163" s="7" t="inlineStr">
        <is>
          <t>Ran extra 30 min</t>
        </is>
      </c>
      <c r="I163" s="7" t="inlineStr">
        <is>
          <t>Yes</t>
        </is>
      </c>
    </row>
    <row r="164" ht="17" customHeight="1">
      <c r="A164" s="5" t="n">
        <v>161</v>
      </c>
      <c r="B164" s="5" t="n">
        <v>34</v>
      </c>
      <c r="C164" s="5" t="inlineStr">
        <is>
          <t>Maria</t>
        </is>
      </c>
      <c r="D164" s="5" t="inlineStr">
        <is>
          <t>Hall</t>
        </is>
      </c>
      <c r="E164" s="5" t="inlineStr">
        <is>
          <t>Elder Care</t>
        </is>
      </c>
      <c r="F164" s="16" t="n">
        <v>2.4</v>
      </c>
      <c r="G164" s="5" t="inlineStr">
        <is>
          <t>2025-11-24</t>
        </is>
      </c>
      <c r="H164" s="5" t="inlineStr">
        <is>
          <t>On time, very helpful</t>
        </is>
      </c>
      <c r="I164" s="5" t="inlineStr">
        <is>
          <t>Yes</t>
        </is>
      </c>
    </row>
    <row r="165" ht="17" customHeight="1">
      <c r="A165" s="7" t="n">
        <v>162</v>
      </c>
      <c r="B165" s="7" t="n">
        <v>37</v>
      </c>
      <c r="C165" s="7" t="inlineStr">
        <is>
          <t>Jennifer</t>
        </is>
      </c>
      <c r="D165" s="7" t="inlineStr">
        <is>
          <t>Kim</t>
        </is>
      </c>
      <c r="E165" s="7" t="inlineStr">
        <is>
          <t>Youth Literacy</t>
        </is>
      </c>
      <c r="F165" s="19" t="n">
        <v>7.1</v>
      </c>
      <c r="G165" s="7" t="inlineStr">
        <is>
          <t>2025-04-28</t>
        </is>
      </c>
      <c r="H165" s="7" t="inlineStr"/>
      <c r="I165" s="7" t="inlineStr">
        <is>
          <t>Yes</t>
        </is>
      </c>
    </row>
    <row r="166" ht="17" customHeight="1">
      <c r="A166" s="5" t="n">
        <v>163</v>
      </c>
      <c r="B166" s="5" t="n">
        <v>37</v>
      </c>
      <c r="C166" s="5" t="inlineStr">
        <is>
          <t>Jennifer</t>
        </is>
      </c>
      <c r="D166" s="5" t="inlineStr">
        <is>
          <t>Kim</t>
        </is>
      </c>
      <c r="E166" s="5" t="inlineStr">
        <is>
          <t>Job Training</t>
        </is>
      </c>
      <c r="F166" s="16" t="n">
        <v>7.7</v>
      </c>
      <c r="G166" s="5" t="inlineStr">
        <is>
          <t>2025-05-23</t>
        </is>
      </c>
      <c r="H166" s="5" t="inlineStr">
        <is>
          <t>Ran extra 30 min</t>
        </is>
      </c>
      <c r="I166" s="5" t="inlineStr">
        <is>
          <t>Yes</t>
        </is>
      </c>
    </row>
    <row r="167" ht="17" customHeight="1">
      <c r="A167" s="7" t="n">
        <v>164</v>
      </c>
      <c r="B167" s="7" t="n">
        <v>37</v>
      </c>
      <c r="C167" s="7" t="inlineStr">
        <is>
          <t>Jennifer</t>
        </is>
      </c>
      <c r="D167" s="7" t="inlineStr">
        <is>
          <t>Kim</t>
        </is>
      </c>
      <c r="E167" s="7" t="inlineStr">
        <is>
          <t>Food Bank</t>
        </is>
      </c>
      <c r="F167" s="19" t="n">
        <v>5.7</v>
      </c>
      <c r="G167" s="7" t="inlineStr">
        <is>
          <t>2025-12-09</t>
        </is>
      </c>
      <c r="H167" s="7" t="inlineStr">
        <is>
          <t>On time, very helpful</t>
        </is>
      </c>
      <c r="I167" s="7" t="inlineStr">
        <is>
          <t>Yes</t>
        </is>
      </c>
    </row>
    <row r="168" ht="17" customHeight="1">
      <c r="A168" s="5" t="n">
        <v>165</v>
      </c>
      <c r="B168" s="5" t="n">
        <v>37</v>
      </c>
      <c r="C168" s="5" t="inlineStr">
        <is>
          <t>Jennifer</t>
        </is>
      </c>
      <c r="D168" s="5" t="inlineStr">
        <is>
          <t>Kim</t>
        </is>
      </c>
      <c r="E168" s="5" t="inlineStr">
        <is>
          <t>Community Garden</t>
        </is>
      </c>
      <c r="F168" s="16" t="n">
        <v>6.5</v>
      </c>
      <c r="G168" s="5" t="inlineStr">
        <is>
          <t>2025-08-29</t>
        </is>
      </c>
      <c r="H168" s="5" t="inlineStr">
        <is>
          <t>Great session</t>
        </is>
      </c>
      <c r="I168" s="5" t="inlineStr">
        <is>
          <t>Yes</t>
        </is>
      </c>
    </row>
    <row r="169" ht="17" customHeight="1">
      <c r="A169" s="7" t="n">
        <v>166</v>
      </c>
      <c r="B169" s="7" t="n">
        <v>37</v>
      </c>
      <c r="C169" s="7" t="inlineStr">
        <is>
          <t>Jennifer</t>
        </is>
      </c>
      <c r="D169" s="7" t="inlineStr">
        <is>
          <t>Kim</t>
        </is>
      </c>
      <c r="E169" s="7" t="inlineStr">
        <is>
          <t>Youth Literacy</t>
        </is>
      </c>
      <c r="F169" s="19" t="n">
        <v>4.7</v>
      </c>
      <c r="G169" s="7" t="inlineStr">
        <is>
          <t>2025-04-18</t>
        </is>
      </c>
      <c r="H169" s="7" t="inlineStr">
        <is>
          <t>On time, very helpful</t>
        </is>
      </c>
      <c r="I169" s="7" t="inlineStr">
        <is>
          <t>Yes</t>
        </is>
      </c>
    </row>
    <row r="170" ht="17" customHeight="1">
      <c r="A170" s="5" t="n">
        <v>167</v>
      </c>
      <c r="B170" s="5" t="n">
        <v>37</v>
      </c>
      <c r="C170" s="5" t="inlineStr">
        <is>
          <t>Jennifer</t>
        </is>
      </c>
      <c r="D170" s="5" t="inlineStr">
        <is>
          <t>Kim</t>
        </is>
      </c>
      <c r="E170" s="5" t="inlineStr">
        <is>
          <t>Food Bank</t>
        </is>
      </c>
      <c r="F170" s="16" t="n">
        <v>2.3</v>
      </c>
      <c r="G170" s="5" t="inlineStr">
        <is>
          <t>2026-03-11</t>
        </is>
      </c>
      <c r="H170" s="5" t="inlineStr">
        <is>
          <t>On time, very helpful</t>
        </is>
      </c>
      <c r="I170" s="5" t="inlineStr">
        <is>
          <t>Yes</t>
        </is>
      </c>
    </row>
    <row r="171" ht="17" customHeight="1">
      <c r="A171" s="7" t="n">
        <v>168</v>
      </c>
      <c r="B171" s="7" t="n">
        <v>37</v>
      </c>
      <c r="C171" s="7" t="inlineStr">
        <is>
          <t>Jennifer</t>
        </is>
      </c>
      <c r="D171" s="7" t="inlineStr">
        <is>
          <t>Kim</t>
        </is>
      </c>
      <c r="E171" s="7" t="inlineStr">
        <is>
          <t>Mental Health Support</t>
        </is>
      </c>
      <c r="F171" s="19" t="n">
        <v>4.2</v>
      </c>
      <c r="G171" s="7" t="inlineStr">
        <is>
          <t>2026-01-24</t>
        </is>
      </c>
      <c r="H171" s="7" t="inlineStr">
        <is>
          <t>Completed all tasks</t>
        </is>
      </c>
      <c r="I171" s="7" t="inlineStr">
        <is>
          <t>Yes</t>
        </is>
      </c>
    </row>
    <row r="172" ht="17" customHeight="1">
      <c r="A172" s="5" t="n">
        <v>169</v>
      </c>
      <c r="B172" s="5" t="n">
        <v>37</v>
      </c>
      <c r="C172" s="5" t="inlineStr">
        <is>
          <t>Jennifer</t>
        </is>
      </c>
      <c r="D172" s="5" t="inlineStr">
        <is>
          <t>Kim</t>
        </is>
      </c>
      <c r="E172" s="5" t="inlineStr">
        <is>
          <t>Job Training</t>
        </is>
      </c>
      <c r="F172" s="16" t="n">
        <v>5.4</v>
      </c>
      <c r="G172" s="5" t="inlineStr">
        <is>
          <t>2026-01-06</t>
        </is>
      </c>
      <c r="H172" s="5" t="inlineStr">
        <is>
          <t>Completed all tasks</t>
        </is>
      </c>
      <c r="I172" s="5" t="inlineStr">
        <is>
          <t>Yes</t>
        </is>
      </c>
    </row>
    <row r="173" ht="17" customHeight="1">
      <c r="A173" s="7" t="n">
        <v>170</v>
      </c>
      <c r="B173" s="7" t="n">
        <v>38</v>
      </c>
      <c r="C173" s="7" t="inlineStr">
        <is>
          <t>Thomas</t>
        </is>
      </c>
      <c r="D173" s="7" t="inlineStr">
        <is>
          <t>Allen</t>
        </is>
      </c>
      <c r="E173" s="7" t="inlineStr">
        <is>
          <t>Youth Literacy</t>
        </is>
      </c>
      <c r="F173" s="19" t="n">
        <v>5.7</v>
      </c>
      <c r="G173" s="7" t="inlineStr">
        <is>
          <t>2025-09-25</t>
        </is>
      </c>
      <c r="H173" s="7" t="inlineStr"/>
      <c r="I173" s="7" t="inlineStr">
        <is>
          <t>Yes</t>
        </is>
      </c>
    </row>
    <row r="174" ht="17" customHeight="1">
      <c r="A174" s="5" t="n">
        <v>171</v>
      </c>
      <c r="B174" s="5" t="n">
        <v>38</v>
      </c>
      <c r="C174" s="5" t="inlineStr">
        <is>
          <t>Thomas</t>
        </is>
      </c>
      <c r="D174" s="5" t="inlineStr">
        <is>
          <t>Allen</t>
        </is>
      </c>
      <c r="E174" s="5" t="inlineStr">
        <is>
          <t>Community Garden</t>
        </is>
      </c>
      <c r="F174" s="16" t="n">
        <v>5</v>
      </c>
      <c r="G174" s="5" t="inlineStr">
        <is>
          <t>2025-06-14</t>
        </is>
      </c>
      <c r="H174" s="5" t="inlineStr">
        <is>
          <t>Completed all tasks</t>
        </is>
      </c>
      <c r="I174" s="5" t="inlineStr">
        <is>
          <t>Yes</t>
        </is>
      </c>
    </row>
    <row r="175" ht="17" customHeight="1">
      <c r="A175" s="7" t="n">
        <v>172</v>
      </c>
      <c r="B175" s="7" t="n">
        <v>38</v>
      </c>
      <c r="C175" s="7" t="inlineStr">
        <is>
          <t>Thomas</t>
        </is>
      </c>
      <c r="D175" s="7" t="inlineStr">
        <is>
          <t>Allen</t>
        </is>
      </c>
      <c r="E175" s="7" t="inlineStr">
        <is>
          <t>Community Garden</t>
        </is>
      </c>
      <c r="F175" s="19" t="n">
        <v>4.8</v>
      </c>
      <c r="G175" s="7" t="inlineStr">
        <is>
          <t>2025-11-29</t>
        </is>
      </c>
      <c r="H175" s="7" t="inlineStr">
        <is>
          <t>Ran extra 30 min</t>
        </is>
      </c>
      <c r="I175" s="7" t="inlineStr">
        <is>
          <t>Yes</t>
        </is>
      </c>
    </row>
    <row r="176" ht="17" customHeight="1">
      <c r="A176" s="5" t="n">
        <v>173</v>
      </c>
      <c r="B176" s="5" t="n">
        <v>38</v>
      </c>
      <c r="C176" s="5" t="inlineStr">
        <is>
          <t>Thomas</t>
        </is>
      </c>
      <c r="D176" s="5" t="inlineStr">
        <is>
          <t>Allen</t>
        </is>
      </c>
      <c r="E176" s="5" t="inlineStr">
        <is>
          <t>After-School Tutoring</t>
        </is>
      </c>
      <c r="F176" s="16" t="n">
        <v>6</v>
      </c>
      <c r="G176" s="5" t="inlineStr">
        <is>
          <t>2025-08-13</t>
        </is>
      </c>
      <c r="H176" s="5" t="inlineStr">
        <is>
          <t>On time, very helpful</t>
        </is>
      </c>
      <c r="I176" s="5" t="inlineStr">
        <is>
          <t>Yes</t>
        </is>
      </c>
    </row>
    <row r="177" ht="17" customHeight="1">
      <c r="A177" s="7" t="n">
        <v>174</v>
      </c>
      <c r="B177" s="7" t="n">
        <v>39</v>
      </c>
      <c r="C177" s="7" t="inlineStr">
        <is>
          <t>Patricia</t>
        </is>
      </c>
      <c r="D177" s="7" t="inlineStr">
        <is>
          <t>Roberts</t>
        </is>
      </c>
      <c r="E177" s="7" t="inlineStr">
        <is>
          <t>Elder Care</t>
        </is>
      </c>
      <c r="F177" s="19" t="n">
        <v>2.4</v>
      </c>
      <c r="G177" s="7" t="inlineStr">
        <is>
          <t>2025-10-14</t>
        </is>
      </c>
      <c r="H177" s="7" t="inlineStr"/>
      <c r="I177" s="7" t="inlineStr">
        <is>
          <t>Yes</t>
        </is>
      </c>
    </row>
    <row r="178" ht="17" customHeight="1">
      <c r="A178" s="5" t="n">
        <v>175</v>
      </c>
      <c r="B178" s="5" t="n">
        <v>39</v>
      </c>
      <c r="C178" s="5" t="inlineStr">
        <is>
          <t>Patricia</t>
        </is>
      </c>
      <c r="D178" s="5" t="inlineStr">
        <is>
          <t>Roberts</t>
        </is>
      </c>
      <c r="E178" s="5" t="inlineStr">
        <is>
          <t>After-School Tutoring</t>
        </is>
      </c>
      <c r="F178" s="16" t="n">
        <v>5.8</v>
      </c>
      <c r="G178" s="5" t="inlineStr">
        <is>
          <t>2025-09-03</t>
        </is>
      </c>
      <c r="H178" s="5" t="inlineStr">
        <is>
          <t>On time, very helpful</t>
        </is>
      </c>
      <c r="I178" s="5" t="inlineStr">
        <is>
          <t>Yes</t>
        </is>
      </c>
    </row>
    <row r="179" ht="17" customHeight="1">
      <c r="A179" s="7" t="n">
        <v>176</v>
      </c>
      <c r="B179" s="7" t="n">
        <v>39</v>
      </c>
      <c r="C179" s="7" t="inlineStr">
        <is>
          <t>Patricia</t>
        </is>
      </c>
      <c r="D179" s="7" t="inlineStr">
        <is>
          <t>Roberts</t>
        </is>
      </c>
      <c r="E179" s="7" t="inlineStr">
        <is>
          <t>Environmental Cleanup</t>
        </is>
      </c>
      <c r="F179" s="19" t="n">
        <v>7.1</v>
      </c>
      <c r="G179" s="7" t="inlineStr">
        <is>
          <t>2025-12-28</t>
        </is>
      </c>
      <c r="H179" s="7" t="inlineStr">
        <is>
          <t>Ran extra 30 min</t>
        </is>
      </c>
      <c r="I179" s="7" t="inlineStr">
        <is>
          <t>Yes</t>
        </is>
      </c>
    </row>
    <row r="180" ht="17" customHeight="1">
      <c r="A180" s="5" t="n">
        <v>177</v>
      </c>
      <c r="B180" s="5" t="n">
        <v>39</v>
      </c>
      <c r="C180" s="5" t="inlineStr">
        <is>
          <t>Patricia</t>
        </is>
      </c>
      <c r="D180" s="5" t="inlineStr">
        <is>
          <t>Roberts</t>
        </is>
      </c>
      <c r="E180" s="5" t="inlineStr">
        <is>
          <t>Environmental Cleanup</t>
        </is>
      </c>
      <c r="F180" s="16" t="n">
        <v>2.6</v>
      </c>
      <c r="G180" s="5" t="inlineStr">
        <is>
          <t>2025-09-25</t>
        </is>
      </c>
      <c r="H180" s="5" t="inlineStr"/>
      <c r="I180" s="5" t="inlineStr">
        <is>
          <t>Yes</t>
        </is>
      </c>
    </row>
    <row r="181" ht="17" customHeight="1">
      <c r="A181" s="7" t="n">
        <v>178</v>
      </c>
      <c r="B181" s="7" t="n">
        <v>39</v>
      </c>
      <c r="C181" s="7" t="inlineStr">
        <is>
          <t>Patricia</t>
        </is>
      </c>
      <c r="D181" s="7" t="inlineStr">
        <is>
          <t>Roberts</t>
        </is>
      </c>
      <c r="E181" s="7" t="inlineStr">
        <is>
          <t>Mental Health Support</t>
        </is>
      </c>
      <c r="F181" s="19" t="n">
        <v>5.4</v>
      </c>
      <c r="G181" s="7" t="inlineStr">
        <is>
          <t>2025-04-15</t>
        </is>
      </c>
      <c r="H181" s="7" t="inlineStr">
        <is>
          <t>On time, very helpful</t>
        </is>
      </c>
      <c r="I181" s="7" t="inlineStr">
        <is>
          <t>Yes</t>
        </is>
      </c>
    </row>
    <row r="182" ht="17" customHeight="1">
      <c r="A182" s="5" t="n">
        <v>179</v>
      </c>
      <c r="B182" s="5" t="n">
        <v>39</v>
      </c>
      <c r="C182" s="5" t="inlineStr">
        <is>
          <t>Patricia</t>
        </is>
      </c>
      <c r="D182" s="5" t="inlineStr">
        <is>
          <t>Roberts</t>
        </is>
      </c>
      <c r="E182" s="5" t="inlineStr">
        <is>
          <t>Food Bank</t>
        </is>
      </c>
      <c r="F182" s="16" t="n">
        <v>7.9</v>
      </c>
      <c r="G182" s="5" t="inlineStr">
        <is>
          <t>2025-05-06</t>
        </is>
      </c>
      <c r="H182" s="5" t="inlineStr">
        <is>
          <t>Ran extra 30 min</t>
        </is>
      </c>
      <c r="I182" s="5" t="inlineStr">
        <is>
          <t>Yes</t>
        </is>
      </c>
    </row>
    <row r="183" ht="17" customHeight="1">
      <c r="A183" s="7" t="n">
        <v>180</v>
      </c>
      <c r="B183" s="7" t="n">
        <v>39</v>
      </c>
      <c r="C183" s="7" t="inlineStr">
        <is>
          <t>Patricia</t>
        </is>
      </c>
      <c r="D183" s="7" t="inlineStr">
        <is>
          <t>Roberts</t>
        </is>
      </c>
      <c r="E183" s="7" t="inlineStr">
        <is>
          <t>After-School Tutoring</t>
        </is>
      </c>
      <c r="F183" s="19" t="n">
        <v>2</v>
      </c>
      <c r="G183" s="7" t="inlineStr">
        <is>
          <t>2025-04-22</t>
        </is>
      </c>
      <c r="H183" s="7" t="inlineStr">
        <is>
          <t>Great session</t>
        </is>
      </c>
      <c r="I183" s="7" t="inlineStr">
        <is>
          <t>Yes</t>
        </is>
      </c>
    </row>
    <row r="184" ht="17" customHeight="1">
      <c r="A184" s="5" t="n">
        <v>181</v>
      </c>
      <c r="B184" s="5" t="n">
        <v>39</v>
      </c>
      <c r="C184" s="5" t="inlineStr">
        <is>
          <t>Patricia</t>
        </is>
      </c>
      <c r="D184" s="5" t="inlineStr">
        <is>
          <t>Roberts</t>
        </is>
      </c>
      <c r="E184" s="5" t="inlineStr">
        <is>
          <t>Environmental Cleanup</t>
        </is>
      </c>
      <c r="F184" s="16" t="n">
        <v>7</v>
      </c>
      <c r="G184" s="5" t="inlineStr">
        <is>
          <t>2025-11-13</t>
        </is>
      </c>
      <c r="H184" s="5" t="inlineStr">
        <is>
          <t>Completed all tasks</t>
        </is>
      </c>
      <c r="I184" s="5" t="inlineStr">
        <is>
          <t>Yes</t>
        </is>
      </c>
    </row>
    <row r="185" ht="17" customHeight="1">
      <c r="A185" s="7" t="n">
        <v>182</v>
      </c>
      <c r="B185" s="7" t="n">
        <v>39</v>
      </c>
      <c r="C185" s="7" t="inlineStr">
        <is>
          <t>Patricia</t>
        </is>
      </c>
      <c r="D185" s="7" t="inlineStr">
        <is>
          <t>Roberts</t>
        </is>
      </c>
      <c r="E185" s="7" t="inlineStr">
        <is>
          <t>Mental Health Support</t>
        </is>
      </c>
      <c r="F185" s="19" t="n">
        <v>3.3</v>
      </c>
      <c r="G185" s="7" t="inlineStr">
        <is>
          <t>2026-01-01</t>
        </is>
      </c>
      <c r="H185" s="7" t="inlineStr"/>
      <c r="I185" s="7" t="inlineStr">
        <is>
          <t>Yes</t>
        </is>
      </c>
    </row>
    <row r="186" ht="17" customHeight="1">
      <c r="A186" s="5" t="n">
        <v>183</v>
      </c>
      <c r="B186" s="5" t="n">
        <v>39</v>
      </c>
      <c r="C186" s="5" t="inlineStr">
        <is>
          <t>Patricia</t>
        </is>
      </c>
      <c r="D186" s="5" t="inlineStr">
        <is>
          <t>Roberts</t>
        </is>
      </c>
      <c r="E186" s="5" t="inlineStr">
        <is>
          <t>After-School Tutoring</t>
        </is>
      </c>
      <c r="F186" s="16" t="n">
        <v>6.1</v>
      </c>
      <c r="G186" s="5" t="inlineStr">
        <is>
          <t>2025-05-06</t>
        </is>
      </c>
      <c r="H186" s="5" t="inlineStr">
        <is>
          <t>Completed all tasks</t>
        </is>
      </c>
      <c r="I186" s="5" t="inlineStr">
        <is>
          <t>Yes</t>
        </is>
      </c>
    </row>
    <row r="187" ht="17" customHeight="1">
      <c r="A187" s="7" t="n">
        <v>184</v>
      </c>
      <c r="B187" s="7" t="n">
        <v>40</v>
      </c>
      <c r="C187" s="7" t="inlineStr">
        <is>
          <t>Lisa</t>
        </is>
      </c>
      <c r="D187" s="7" t="inlineStr">
        <is>
          <t>Harris</t>
        </is>
      </c>
      <c r="E187" s="7" t="inlineStr">
        <is>
          <t>Food Bank</t>
        </is>
      </c>
      <c r="F187" s="19" t="n">
        <v>3.9</v>
      </c>
      <c r="G187" s="7" t="inlineStr">
        <is>
          <t>2025-08-26</t>
        </is>
      </c>
      <c r="H187" s="7" t="inlineStr">
        <is>
          <t>Great session</t>
        </is>
      </c>
      <c r="I187" s="7" t="inlineStr">
        <is>
          <t>Yes</t>
        </is>
      </c>
    </row>
    <row r="188" ht="17" customHeight="1">
      <c r="A188" s="5" t="n">
        <v>185</v>
      </c>
      <c r="B188" s="5" t="n">
        <v>40</v>
      </c>
      <c r="C188" s="5" t="inlineStr">
        <is>
          <t>Lisa</t>
        </is>
      </c>
      <c r="D188" s="5" t="inlineStr">
        <is>
          <t>Harris</t>
        </is>
      </c>
      <c r="E188" s="5" t="inlineStr">
        <is>
          <t>Mental Health Support</t>
        </is>
      </c>
      <c r="F188" s="16" t="n">
        <v>6.4</v>
      </c>
      <c r="G188" s="5" t="inlineStr">
        <is>
          <t>2026-02-21</t>
        </is>
      </c>
      <c r="H188" s="5" t="inlineStr">
        <is>
          <t>On time, very helpful</t>
        </is>
      </c>
      <c r="I188" s="5" t="inlineStr">
        <is>
          <t>Yes</t>
        </is>
      </c>
    </row>
    <row r="189" ht="17" customHeight="1">
      <c r="A189" s="7" t="n">
        <v>186</v>
      </c>
      <c r="B189" s="7" t="n">
        <v>40</v>
      </c>
      <c r="C189" s="7" t="inlineStr">
        <is>
          <t>Lisa</t>
        </is>
      </c>
      <c r="D189" s="7" t="inlineStr">
        <is>
          <t>Harris</t>
        </is>
      </c>
      <c r="E189" s="7" t="inlineStr">
        <is>
          <t>Mental Health Support</t>
        </is>
      </c>
      <c r="F189" s="19" t="n">
        <v>6.5</v>
      </c>
      <c r="G189" s="7" t="inlineStr">
        <is>
          <t>2026-01-09</t>
        </is>
      </c>
      <c r="H189" s="7" t="inlineStr">
        <is>
          <t>Completed all tasks</t>
        </is>
      </c>
      <c r="I189" s="7" t="inlineStr">
        <is>
          <t>Yes</t>
        </is>
      </c>
    </row>
    <row r="190" ht="22" customHeight="1">
      <c r="A190" s="22" t="inlineStr">
        <is>
          <t>TOTAL HOURS LOGGED</t>
        </is>
      </c>
      <c r="E190" s="23">
        <f>SUM(F4:F189)</f>
        <v/>
      </c>
      <c r="F190" s="24" t="n"/>
      <c r="G190" s="24" t="n"/>
      <c r="H190" s="24" t="n"/>
      <c r="I190" s="24" t="n"/>
    </row>
  </sheetData>
  <mergeCells count="4">
    <mergeCell ref="A1:I1"/>
    <mergeCell ref="K1:P1"/>
    <mergeCell ref="A2:I2"/>
    <mergeCell ref="A190:D190"/>
  </mergeCells>
  <conditionalFormatting sqref="P4:P31">
    <cfRule type="colorScale" priority="1">
      <colorScale>
        <cfvo type="min"/>
        <cfvo type="percentile" val="50"/>
        <cfvo type="max"/>
        <color rgb="00FCEBEB"/>
        <color rgb="00FAEEDA"/>
        <color rgb="00EAF3DE"/>
      </colorScale>
    </cfRule>
  </conditionalFormatting>
  <dataValidations count="2">
    <dataValidation sqref="E4:E2000" showDropDown="0" showInputMessage="0" showErrorMessage="0" allowBlank="1" type="list">
      <formula1>"Food Bank,Youth Literacy,Elder Care,Community Garden,After-School Tutoring,Mental Health Support,Job Training,Environmental Cleanup"</formula1>
    </dataValidation>
    <dataValidation sqref="I4:I2000" showDropDown="0" showInputMessage="0" showErrorMessage="0" allowBlank="1" type="list">
      <formula1>"Yes,No,Pending"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5" customWidth="1" min="3" max="3"/>
    <col width="15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14" customWidth="1" min="10" max="10"/>
    <col width="20" customWidth="1" min="11" max="11"/>
  </cols>
  <sheetData>
    <row r="1" ht="32" customHeight="1">
      <c r="A1" s="25" t="inlineStr">
        <is>
          <t>Engagement Scores — Automatically calculated from hours, donations &amp; activity</t>
        </is>
      </c>
    </row>
    <row r="2" ht="18" customHeight="1">
      <c r="A2" s="26" t="inlineStr">
        <is>
          <t xml:space="preserve">  Scores update live. Green = High (70+)  ·  Blue = Medium (40–69)  ·  Amber = Low (20–39)  ·  Red = At-Risk (&lt;20)</t>
        </is>
      </c>
    </row>
    <row r="3" ht="22" customHeight="1">
      <c r="A3" s="3" t="inlineStr">
        <is>
          <t>Contact ID</t>
        </is>
      </c>
      <c r="B3" s="3" t="inlineStr">
        <is>
          <t>First</t>
        </is>
      </c>
      <c r="C3" s="3" t="inlineStr">
        <is>
          <t>Last</t>
        </is>
      </c>
      <c r="D3" s="3" t="inlineStr">
        <is>
          <t>Type</t>
        </is>
      </c>
      <c r="E3" s="3" t="inlineStr">
        <is>
          <t>Base score</t>
        </is>
      </c>
      <c r="F3" s="3" t="inlineStr">
        <is>
          <t>Hours pts</t>
        </is>
      </c>
      <c r="G3" s="3" t="inlineStr">
        <is>
          <t>Giving pts</t>
        </is>
      </c>
      <c r="H3" s="3" t="inlineStr">
        <is>
          <t>Total score</t>
        </is>
      </c>
      <c r="I3" s="3" t="inlineStr">
        <is>
          <t>Tier</t>
        </is>
      </c>
      <c r="J3" s="3" t="inlineStr">
        <is>
          <t>Last activity</t>
        </is>
      </c>
      <c r="K3" s="3" t="inlineStr">
        <is>
          <t>Email</t>
        </is>
      </c>
    </row>
    <row r="4" ht="17" customHeight="1">
      <c r="A4" s="5" t="n">
        <v>1</v>
      </c>
      <c r="B4" s="5" t="inlineStr">
        <is>
          <t>William</t>
        </is>
      </c>
      <c r="C4" s="5" t="inlineStr">
        <is>
          <t>Thornton</t>
        </is>
      </c>
      <c r="D4" s="5" t="inlineStr">
        <is>
          <t>Donor</t>
        </is>
      </c>
      <c r="E4" s="5" t="n">
        <v>43</v>
      </c>
      <c r="F4" s="5">
        <f>IFERROR(ROUND(SUMIF('Hours Tracker'!B4:B2000,1,'Hours Tracker'!F4:F2000)/5,0),0)</f>
        <v/>
      </c>
      <c r="G4" s="5">
        <f>IFERROR(MIN(30,ROUND(SUMIF(Donations!B4:B2000,1,Donations!E4:E2000)/50,0)),0)</f>
        <v/>
      </c>
      <c r="H4" s="18">
        <f>MIN(100,E4+F4+G4)</f>
        <v/>
      </c>
      <c r="I4" s="5">
        <f>IF(H4&gt;=70,"High",IF(H4&gt;=40,"Medium",IF(H4&gt;=20,"Low","At-Risk")))</f>
        <v/>
      </c>
      <c r="J4" s="5" t="inlineStr">
        <is>
          <t>2025-10-17</t>
        </is>
      </c>
      <c r="K4" s="5" t="inlineStr">
        <is>
          <t>william.thornton1@example.com</t>
        </is>
      </c>
    </row>
    <row r="5" ht="17" customHeight="1">
      <c r="A5" s="7" t="n">
        <v>2</v>
      </c>
      <c r="B5" s="7" t="inlineStr">
        <is>
          <t>Andrew</t>
        </is>
      </c>
      <c r="C5" s="7" t="inlineStr">
        <is>
          <t>Ortiz</t>
        </is>
      </c>
      <c r="D5" s="7" t="inlineStr">
        <is>
          <t>Volunteer</t>
        </is>
      </c>
      <c r="E5" s="7" t="n">
        <v>18</v>
      </c>
      <c r="F5" s="7">
        <f>IFERROR(ROUND(SUMIF('Hours Tracker'!B4:B2000,2,'Hours Tracker'!F4:F2000)/5,0),0)</f>
        <v/>
      </c>
      <c r="G5" s="7">
        <f>IFERROR(MIN(30,ROUND(SUMIF(Donations!B4:B2000,2,Donations!E4:E2000)/50,0)),0)</f>
        <v/>
      </c>
      <c r="H5" s="21">
        <f>MIN(100,E5+F5+G5)</f>
        <v/>
      </c>
      <c r="I5" s="7">
        <f>IF(H5&gt;=70,"High",IF(H5&gt;=40,"Medium",IF(H5&gt;=20,"Low","At-Risk")))</f>
        <v/>
      </c>
      <c r="J5" s="7" t="inlineStr">
        <is>
          <t>2026-02-08</t>
        </is>
      </c>
      <c r="K5" s="7" t="inlineStr">
        <is>
          <t>andrew.ortiz2@example.com</t>
        </is>
      </c>
    </row>
    <row r="6" ht="17" customHeight="1">
      <c r="A6" s="5" t="n">
        <v>3</v>
      </c>
      <c r="B6" s="5" t="inlineStr">
        <is>
          <t>Paul</t>
        </is>
      </c>
      <c r="C6" s="5" t="inlineStr">
        <is>
          <t>Perez</t>
        </is>
      </c>
      <c r="D6" s="5" t="inlineStr">
        <is>
          <t>Volunteer</t>
        </is>
      </c>
      <c r="E6" s="5" t="n">
        <v>84</v>
      </c>
      <c r="F6" s="5">
        <f>IFERROR(ROUND(SUMIF('Hours Tracker'!B4:B2000,3,'Hours Tracker'!F4:F2000)/5,0),0)</f>
        <v/>
      </c>
      <c r="G6" s="5">
        <f>IFERROR(MIN(30,ROUND(SUMIF(Donations!B4:B2000,3,Donations!E4:E2000)/50,0)),0)</f>
        <v/>
      </c>
      <c r="H6" s="18">
        <f>MIN(100,E6+F6+G6)</f>
        <v/>
      </c>
      <c r="I6" s="5">
        <f>IF(H6&gt;=70,"High",IF(H6&gt;=40,"Medium",IF(H6&gt;=20,"Low","At-Risk")))</f>
        <v/>
      </c>
      <c r="J6" s="5" t="inlineStr">
        <is>
          <t>2025-12-15</t>
        </is>
      </c>
      <c r="K6" s="5" t="inlineStr">
        <is>
          <t>paul.perez3@example.com</t>
        </is>
      </c>
    </row>
    <row r="7" ht="17" customHeight="1">
      <c r="A7" s="7" t="n">
        <v>4</v>
      </c>
      <c r="B7" s="7" t="inlineStr">
        <is>
          <t>Donna</t>
        </is>
      </c>
      <c r="C7" s="7" t="inlineStr">
        <is>
          <t>Garcia</t>
        </is>
      </c>
      <c r="D7" s="7" t="inlineStr">
        <is>
          <t>Volunteer</t>
        </is>
      </c>
      <c r="E7" s="7" t="n">
        <v>35</v>
      </c>
      <c r="F7" s="7">
        <f>IFERROR(ROUND(SUMIF('Hours Tracker'!B4:B2000,4,'Hours Tracker'!F4:F2000)/5,0),0)</f>
        <v/>
      </c>
      <c r="G7" s="7">
        <f>IFERROR(MIN(30,ROUND(SUMIF(Donations!B4:B2000,4,Donations!E4:E2000)/50,0)),0)</f>
        <v/>
      </c>
      <c r="H7" s="21">
        <f>MIN(100,E7+F7+G7)</f>
        <v/>
      </c>
      <c r="I7" s="7">
        <f>IF(H7&gt;=70,"High",IF(H7&gt;=40,"Medium",IF(H7&gt;=20,"Low","At-Risk")))</f>
        <v/>
      </c>
      <c r="J7" s="7" t="inlineStr">
        <is>
          <t>2026-01-27</t>
        </is>
      </c>
      <c r="K7" s="7" t="inlineStr">
        <is>
          <t>donna.garcia4@example.com</t>
        </is>
      </c>
    </row>
    <row r="8" ht="17" customHeight="1">
      <c r="A8" s="5" t="n">
        <v>5</v>
      </c>
      <c r="B8" s="5" t="inlineStr">
        <is>
          <t>David</t>
        </is>
      </c>
      <c r="C8" s="5" t="inlineStr">
        <is>
          <t>Jackson</t>
        </is>
      </c>
      <c r="D8" s="5" t="inlineStr">
        <is>
          <t>Both</t>
        </is>
      </c>
      <c r="E8" s="5" t="n">
        <v>63</v>
      </c>
      <c r="F8" s="5">
        <f>IFERROR(ROUND(SUMIF('Hours Tracker'!B4:B2000,5,'Hours Tracker'!F4:F2000)/5,0),0)</f>
        <v/>
      </c>
      <c r="G8" s="5">
        <f>IFERROR(MIN(30,ROUND(SUMIF(Donations!B4:B2000,5,Donations!E4:E2000)/50,0)),0)</f>
        <v/>
      </c>
      <c r="H8" s="18">
        <f>MIN(100,E8+F8+G8)</f>
        <v/>
      </c>
      <c r="I8" s="5">
        <f>IF(H8&gt;=70,"High",IF(H8&gt;=40,"Medium",IF(H8&gt;=20,"Low","At-Risk")))</f>
        <v/>
      </c>
      <c r="J8" s="5" t="inlineStr">
        <is>
          <t>2026-01-10</t>
        </is>
      </c>
      <c r="K8" s="5" t="inlineStr">
        <is>
          <t>david.jackson5@example.com</t>
        </is>
      </c>
    </row>
    <row r="9" ht="17" customHeight="1">
      <c r="A9" s="7" t="n">
        <v>6</v>
      </c>
      <c r="B9" s="7" t="inlineStr">
        <is>
          <t>George</t>
        </is>
      </c>
      <c r="C9" s="7" t="inlineStr">
        <is>
          <t>Martin</t>
        </is>
      </c>
      <c r="D9" s="7" t="inlineStr">
        <is>
          <t>Volunteer</t>
        </is>
      </c>
      <c r="E9" s="7" t="n">
        <v>83</v>
      </c>
      <c r="F9" s="7">
        <f>IFERROR(ROUND(SUMIF('Hours Tracker'!B4:B2000,6,'Hours Tracker'!F4:F2000)/5,0),0)</f>
        <v/>
      </c>
      <c r="G9" s="7">
        <f>IFERROR(MIN(30,ROUND(SUMIF(Donations!B4:B2000,6,Donations!E4:E2000)/50,0)),0)</f>
        <v/>
      </c>
      <c r="H9" s="21">
        <f>MIN(100,E9+F9+G9)</f>
        <v/>
      </c>
      <c r="I9" s="7">
        <f>IF(H9&gt;=70,"High",IF(H9&gt;=40,"Medium",IF(H9&gt;=20,"Low","At-Risk")))</f>
        <v/>
      </c>
      <c r="J9" s="7" t="inlineStr">
        <is>
          <t>2026-03-19</t>
        </is>
      </c>
      <c r="K9" s="7" t="inlineStr">
        <is>
          <t>george.martin6@example.com</t>
        </is>
      </c>
    </row>
    <row r="10" ht="17" customHeight="1">
      <c r="A10" s="5" t="n">
        <v>7</v>
      </c>
      <c r="B10" s="5" t="inlineStr">
        <is>
          <t>Emily</t>
        </is>
      </c>
      <c r="C10" s="5" t="inlineStr">
        <is>
          <t>Martinez</t>
        </is>
      </c>
      <c r="D10" s="5" t="inlineStr">
        <is>
          <t>Donor</t>
        </is>
      </c>
      <c r="E10" s="5" t="n">
        <v>61</v>
      </c>
      <c r="F10" s="5">
        <f>IFERROR(ROUND(SUMIF('Hours Tracker'!B4:B2000,7,'Hours Tracker'!F4:F2000)/5,0),0)</f>
        <v/>
      </c>
      <c r="G10" s="5">
        <f>IFERROR(MIN(30,ROUND(SUMIF(Donations!B4:B2000,7,Donations!E4:E2000)/50,0)),0)</f>
        <v/>
      </c>
      <c r="H10" s="18">
        <f>MIN(100,E10+F10+G10)</f>
        <v/>
      </c>
      <c r="I10" s="5">
        <f>IF(H10&gt;=70,"High",IF(H10&gt;=40,"Medium",IF(H10&gt;=20,"Low","At-Risk")))</f>
        <v/>
      </c>
      <c r="J10" s="5" t="inlineStr">
        <is>
          <t>2026-03-28</t>
        </is>
      </c>
      <c r="K10" s="5" t="inlineStr">
        <is>
          <t>emily.martinez7@example.com</t>
        </is>
      </c>
    </row>
    <row r="11" ht="17" customHeight="1">
      <c r="A11" s="7" t="n">
        <v>8</v>
      </c>
      <c r="B11" s="7" t="inlineStr">
        <is>
          <t>Jessica</t>
        </is>
      </c>
      <c r="C11" s="7" t="inlineStr">
        <is>
          <t>Martinez</t>
        </is>
      </c>
      <c r="D11" s="7" t="inlineStr">
        <is>
          <t>Volunteer</t>
        </is>
      </c>
      <c r="E11" s="7" t="n">
        <v>27</v>
      </c>
      <c r="F11" s="7">
        <f>IFERROR(ROUND(SUMIF('Hours Tracker'!B4:B2000,8,'Hours Tracker'!F4:F2000)/5,0),0)</f>
        <v/>
      </c>
      <c r="G11" s="7">
        <f>IFERROR(MIN(30,ROUND(SUMIF(Donations!B4:B2000,8,Donations!E4:E2000)/50,0)),0)</f>
        <v/>
      </c>
      <c r="H11" s="21">
        <f>MIN(100,E11+F11+G11)</f>
        <v/>
      </c>
      <c r="I11" s="7">
        <f>IF(H11&gt;=70,"High",IF(H11&gt;=40,"Medium",IF(H11&gt;=20,"Low","At-Risk")))</f>
        <v/>
      </c>
      <c r="J11" s="7" t="inlineStr">
        <is>
          <t>2026-01-27</t>
        </is>
      </c>
      <c r="K11" s="7" t="inlineStr">
        <is>
          <t>jessica.martinez8@example.com</t>
        </is>
      </c>
    </row>
    <row r="12" ht="17" customHeight="1">
      <c r="A12" s="5" t="n">
        <v>9</v>
      </c>
      <c r="B12" s="5" t="inlineStr">
        <is>
          <t>Ashley</t>
        </is>
      </c>
      <c r="C12" s="5" t="inlineStr">
        <is>
          <t>Walker</t>
        </is>
      </c>
      <c r="D12" s="5" t="inlineStr">
        <is>
          <t>Donor</t>
        </is>
      </c>
      <c r="E12" s="5" t="n">
        <v>41</v>
      </c>
      <c r="F12" s="5">
        <f>IFERROR(ROUND(SUMIF('Hours Tracker'!B4:B2000,9,'Hours Tracker'!F4:F2000)/5,0),0)</f>
        <v/>
      </c>
      <c r="G12" s="5">
        <f>IFERROR(MIN(30,ROUND(SUMIF(Donations!B4:B2000,9,Donations!E4:E2000)/50,0)),0)</f>
        <v/>
      </c>
      <c r="H12" s="18">
        <f>MIN(100,E12+F12+G12)</f>
        <v/>
      </c>
      <c r="I12" s="5">
        <f>IF(H12&gt;=70,"High",IF(H12&gt;=40,"Medium",IF(H12&gt;=20,"Low","At-Risk")))</f>
        <v/>
      </c>
      <c r="J12" s="5" t="inlineStr">
        <is>
          <t>2025-10-25</t>
        </is>
      </c>
      <c r="K12" s="5" t="inlineStr">
        <is>
          <t>ashley.walker9@example.com</t>
        </is>
      </c>
    </row>
    <row r="13" ht="17" customHeight="1">
      <c r="A13" s="7" t="n">
        <v>10</v>
      </c>
      <c r="B13" s="7" t="inlineStr">
        <is>
          <t>Linda</t>
        </is>
      </c>
      <c r="C13" s="7" t="inlineStr">
        <is>
          <t>Perez</t>
        </is>
      </c>
      <c r="D13" s="7" t="inlineStr">
        <is>
          <t>Donor</t>
        </is>
      </c>
      <c r="E13" s="7" t="n">
        <v>46</v>
      </c>
      <c r="F13" s="7">
        <f>IFERROR(ROUND(SUMIF('Hours Tracker'!B4:B2000,10,'Hours Tracker'!F4:F2000)/5,0),0)</f>
        <v/>
      </c>
      <c r="G13" s="7">
        <f>IFERROR(MIN(30,ROUND(SUMIF(Donations!B4:B2000,10,Donations!E4:E2000)/50,0)),0)</f>
        <v/>
      </c>
      <c r="H13" s="21">
        <f>MIN(100,E13+F13+G13)</f>
        <v/>
      </c>
      <c r="I13" s="7">
        <f>IF(H13&gt;=70,"High",IF(H13&gt;=40,"Medium",IF(H13&gt;=20,"Low","At-Risk")))</f>
        <v/>
      </c>
      <c r="J13" s="7" t="inlineStr">
        <is>
          <t>2026-01-01</t>
        </is>
      </c>
      <c r="K13" s="7" t="inlineStr">
        <is>
          <t>linda.perez10@example.com</t>
        </is>
      </c>
    </row>
    <row r="14" ht="17" customHeight="1">
      <c r="A14" s="5" t="n">
        <v>11</v>
      </c>
      <c r="B14" s="5" t="inlineStr">
        <is>
          <t>Charles</t>
        </is>
      </c>
      <c r="C14" s="5" t="inlineStr">
        <is>
          <t>Nelson</t>
        </is>
      </c>
      <c r="D14" s="5" t="inlineStr">
        <is>
          <t>Donor</t>
        </is>
      </c>
      <c r="E14" s="5" t="n">
        <v>22</v>
      </c>
      <c r="F14" s="5">
        <f>IFERROR(ROUND(SUMIF('Hours Tracker'!B4:B2000,11,'Hours Tracker'!F4:F2000)/5,0),0)</f>
        <v/>
      </c>
      <c r="G14" s="5">
        <f>IFERROR(MIN(30,ROUND(SUMIF(Donations!B4:B2000,11,Donations!E4:E2000)/50,0)),0)</f>
        <v/>
      </c>
      <c r="H14" s="18">
        <f>MIN(100,E14+F14+G14)</f>
        <v/>
      </c>
      <c r="I14" s="5">
        <f>IF(H14&gt;=70,"High",IF(H14&gt;=40,"Medium",IF(H14&gt;=20,"Low","At-Risk")))</f>
        <v/>
      </c>
      <c r="J14" s="5" t="inlineStr">
        <is>
          <t>2026-01-18</t>
        </is>
      </c>
      <c r="K14" s="5" t="inlineStr">
        <is>
          <t>charles.nelson11@example.com</t>
        </is>
      </c>
    </row>
    <row r="15" ht="17" customHeight="1">
      <c r="A15" s="7" t="n">
        <v>12</v>
      </c>
      <c r="B15" s="7" t="inlineStr">
        <is>
          <t>Anthony</t>
        </is>
      </c>
      <c r="C15" s="7" t="inlineStr">
        <is>
          <t>Garcia</t>
        </is>
      </c>
      <c r="D15" s="7" t="inlineStr">
        <is>
          <t>Volunteer</t>
        </is>
      </c>
      <c r="E15" s="7" t="n">
        <v>87</v>
      </c>
      <c r="F15" s="7">
        <f>IFERROR(ROUND(SUMIF('Hours Tracker'!B4:B2000,12,'Hours Tracker'!F4:F2000)/5,0),0)</f>
        <v/>
      </c>
      <c r="G15" s="7">
        <f>IFERROR(MIN(30,ROUND(SUMIF(Donations!B4:B2000,12,Donations!E4:E2000)/50,0)),0)</f>
        <v/>
      </c>
      <c r="H15" s="21">
        <f>MIN(100,E15+F15+G15)</f>
        <v/>
      </c>
      <c r="I15" s="7">
        <f>IF(H15&gt;=70,"High",IF(H15&gt;=40,"Medium",IF(H15&gt;=20,"Low","At-Risk")))</f>
        <v/>
      </c>
      <c r="J15" s="7" t="inlineStr">
        <is>
          <t>2025-10-23</t>
        </is>
      </c>
      <c r="K15" s="7" t="inlineStr">
        <is>
          <t>anthony.garcia12@example.com</t>
        </is>
      </c>
    </row>
    <row r="16" ht="17" customHeight="1">
      <c r="A16" s="5" t="n">
        <v>13</v>
      </c>
      <c r="B16" s="5" t="inlineStr">
        <is>
          <t>Dorothy</t>
        </is>
      </c>
      <c r="C16" s="5" t="inlineStr">
        <is>
          <t>Allen</t>
        </is>
      </c>
      <c r="D16" s="5" t="inlineStr">
        <is>
          <t>Donor</t>
        </is>
      </c>
      <c r="E16" s="5" t="n">
        <v>48</v>
      </c>
      <c r="F16" s="5">
        <f>IFERROR(ROUND(SUMIF('Hours Tracker'!B4:B2000,13,'Hours Tracker'!F4:F2000)/5,0),0)</f>
        <v/>
      </c>
      <c r="G16" s="5">
        <f>IFERROR(MIN(30,ROUND(SUMIF(Donations!B4:B2000,13,Donations!E4:E2000)/50,0)),0)</f>
        <v/>
      </c>
      <c r="H16" s="18">
        <f>MIN(100,E16+F16+G16)</f>
        <v/>
      </c>
      <c r="I16" s="5">
        <f>IF(H16&gt;=70,"High",IF(H16&gt;=40,"Medium",IF(H16&gt;=20,"Low","At-Risk")))</f>
        <v/>
      </c>
      <c r="J16" s="5" t="inlineStr">
        <is>
          <t>2025-09-30</t>
        </is>
      </c>
      <c r="K16" s="5" t="inlineStr">
        <is>
          <t>dorothy.allen13@example.com</t>
        </is>
      </c>
    </row>
    <row r="17" ht="17" customHeight="1">
      <c r="A17" s="7" t="n">
        <v>14</v>
      </c>
      <c r="B17" s="7" t="inlineStr">
        <is>
          <t>Emily</t>
        </is>
      </c>
      <c r="C17" s="7" t="inlineStr">
        <is>
          <t>Baker</t>
        </is>
      </c>
      <c r="D17" s="7" t="inlineStr">
        <is>
          <t>Both</t>
        </is>
      </c>
      <c r="E17" s="7" t="n">
        <v>69</v>
      </c>
      <c r="F17" s="7">
        <f>IFERROR(ROUND(SUMIF('Hours Tracker'!B4:B2000,14,'Hours Tracker'!F4:F2000)/5,0),0)</f>
        <v/>
      </c>
      <c r="G17" s="7">
        <f>IFERROR(MIN(30,ROUND(SUMIF(Donations!B4:B2000,14,Donations!E4:E2000)/50,0)),0)</f>
        <v/>
      </c>
      <c r="H17" s="21">
        <f>MIN(100,E17+F17+G17)</f>
        <v/>
      </c>
      <c r="I17" s="7">
        <f>IF(H17&gt;=70,"High",IF(H17&gt;=40,"Medium",IF(H17&gt;=20,"Low","At-Risk")))</f>
        <v/>
      </c>
      <c r="J17" s="7" t="inlineStr">
        <is>
          <t>2026-02-11</t>
        </is>
      </c>
      <c r="K17" s="7" t="inlineStr">
        <is>
          <t>emily.baker14@example.com</t>
        </is>
      </c>
    </row>
    <row r="18" ht="17" customHeight="1">
      <c r="A18" s="5" t="n">
        <v>15</v>
      </c>
      <c r="B18" s="5" t="inlineStr">
        <is>
          <t>Elizabeth</t>
        </is>
      </c>
      <c r="C18" s="5" t="inlineStr">
        <is>
          <t>Green</t>
        </is>
      </c>
      <c r="D18" s="5" t="inlineStr">
        <is>
          <t>Both</t>
        </is>
      </c>
      <c r="E18" s="5" t="n">
        <v>21</v>
      </c>
      <c r="F18" s="5">
        <f>IFERROR(ROUND(SUMIF('Hours Tracker'!B4:B2000,15,'Hours Tracker'!F4:F2000)/5,0),0)</f>
        <v/>
      </c>
      <c r="G18" s="5">
        <f>IFERROR(MIN(30,ROUND(SUMIF(Donations!B4:B2000,15,Donations!E4:E2000)/50,0)),0)</f>
        <v/>
      </c>
      <c r="H18" s="18">
        <f>MIN(100,E18+F18+G18)</f>
        <v/>
      </c>
      <c r="I18" s="5">
        <f>IF(H18&gt;=70,"High",IF(H18&gt;=40,"Medium",IF(H18&gt;=20,"Low","At-Risk")))</f>
        <v/>
      </c>
      <c r="J18" s="5" t="inlineStr">
        <is>
          <t>2025-10-30</t>
        </is>
      </c>
      <c r="K18" s="5" t="inlineStr">
        <is>
          <t>elizabeth.green15@example.com</t>
        </is>
      </c>
    </row>
    <row r="19" ht="17" customHeight="1">
      <c r="A19" s="7" t="n">
        <v>16</v>
      </c>
      <c r="B19" s="7" t="inlineStr">
        <is>
          <t>Jennifer</t>
        </is>
      </c>
      <c r="C19" s="7" t="inlineStr">
        <is>
          <t>King</t>
        </is>
      </c>
      <c r="D19" s="7" t="inlineStr">
        <is>
          <t>Volunteer</t>
        </is>
      </c>
      <c r="E19" s="7" t="n">
        <v>63</v>
      </c>
      <c r="F19" s="7">
        <f>IFERROR(ROUND(SUMIF('Hours Tracker'!B4:B2000,16,'Hours Tracker'!F4:F2000)/5,0),0)</f>
        <v/>
      </c>
      <c r="G19" s="7">
        <f>IFERROR(MIN(30,ROUND(SUMIF(Donations!B4:B2000,16,Donations!E4:E2000)/50,0)),0)</f>
        <v/>
      </c>
      <c r="H19" s="21">
        <f>MIN(100,E19+F19+G19)</f>
        <v/>
      </c>
      <c r="I19" s="7">
        <f>IF(H19&gt;=70,"High",IF(H19&gt;=40,"Medium",IF(H19&gt;=20,"Low","At-Risk")))</f>
        <v/>
      </c>
      <c r="J19" s="7" t="inlineStr">
        <is>
          <t>2026-02-03</t>
        </is>
      </c>
      <c r="K19" s="7" t="inlineStr">
        <is>
          <t>jennifer.king16@example.com</t>
        </is>
      </c>
    </row>
    <row r="20" ht="17" customHeight="1">
      <c r="A20" s="5" t="n">
        <v>17</v>
      </c>
      <c r="B20" s="5" t="inlineStr">
        <is>
          <t>Emily</t>
        </is>
      </c>
      <c r="C20" s="5" t="inlineStr">
        <is>
          <t>Santos</t>
        </is>
      </c>
      <c r="D20" s="5" t="inlineStr">
        <is>
          <t>Donor</t>
        </is>
      </c>
      <c r="E20" s="5" t="n">
        <v>83</v>
      </c>
      <c r="F20" s="5">
        <f>IFERROR(ROUND(SUMIF('Hours Tracker'!B4:B2000,17,'Hours Tracker'!F4:F2000)/5,0),0)</f>
        <v/>
      </c>
      <c r="G20" s="5">
        <f>IFERROR(MIN(30,ROUND(SUMIF(Donations!B4:B2000,17,Donations!E4:E2000)/50,0)),0)</f>
        <v/>
      </c>
      <c r="H20" s="18">
        <f>MIN(100,E20+F20+G20)</f>
        <v/>
      </c>
      <c r="I20" s="5">
        <f>IF(H20&gt;=70,"High",IF(H20&gt;=40,"Medium",IF(H20&gt;=20,"Low","At-Risk")))</f>
        <v/>
      </c>
      <c r="J20" s="5" t="inlineStr">
        <is>
          <t>2026-01-11</t>
        </is>
      </c>
      <c r="K20" s="5" t="inlineStr">
        <is>
          <t>emily.santos17@example.com</t>
        </is>
      </c>
    </row>
    <row r="21" ht="17" customHeight="1">
      <c r="A21" s="7" t="n">
        <v>18</v>
      </c>
      <c r="B21" s="7" t="inlineStr">
        <is>
          <t>William</t>
        </is>
      </c>
      <c r="C21" s="7" t="inlineStr">
        <is>
          <t>Martinez</t>
        </is>
      </c>
      <c r="D21" s="7" t="inlineStr">
        <is>
          <t>Both</t>
        </is>
      </c>
      <c r="E21" s="7" t="n">
        <v>15</v>
      </c>
      <c r="F21" s="7">
        <f>IFERROR(ROUND(SUMIF('Hours Tracker'!B4:B2000,18,'Hours Tracker'!F4:F2000)/5,0),0)</f>
        <v/>
      </c>
      <c r="G21" s="7">
        <f>IFERROR(MIN(30,ROUND(SUMIF(Donations!B4:B2000,18,Donations!E4:E2000)/50,0)),0)</f>
        <v/>
      </c>
      <c r="H21" s="21">
        <f>MIN(100,E21+F21+G21)</f>
        <v/>
      </c>
      <c r="I21" s="7">
        <f>IF(H21&gt;=70,"High",IF(H21&gt;=40,"Medium",IF(H21&gt;=20,"Low","At-Risk")))</f>
        <v/>
      </c>
      <c r="J21" s="7" t="inlineStr">
        <is>
          <t>2025-09-25</t>
        </is>
      </c>
      <c r="K21" s="7" t="inlineStr">
        <is>
          <t>william.martinez18@example.com</t>
        </is>
      </c>
    </row>
    <row r="22" ht="17" customHeight="1">
      <c r="A22" s="5" t="n">
        <v>19</v>
      </c>
      <c r="B22" s="5" t="inlineStr">
        <is>
          <t>Richard</t>
        </is>
      </c>
      <c r="C22" s="5" t="inlineStr">
        <is>
          <t>Green</t>
        </is>
      </c>
      <c r="D22" s="5" t="inlineStr">
        <is>
          <t>Volunteer</t>
        </is>
      </c>
      <c r="E22" s="5" t="n">
        <v>9</v>
      </c>
      <c r="F22" s="5">
        <f>IFERROR(ROUND(SUMIF('Hours Tracker'!B4:B2000,19,'Hours Tracker'!F4:F2000)/5,0),0)</f>
        <v/>
      </c>
      <c r="G22" s="5">
        <f>IFERROR(MIN(30,ROUND(SUMIF(Donations!B4:B2000,19,Donations!E4:E2000)/50,0)),0)</f>
        <v/>
      </c>
      <c r="H22" s="18">
        <f>MIN(100,E22+F22+G22)</f>
        <v/>
      </c>
      <c r="I22" s="5">
        <f>IF(H22&gt;=70,"High",IF(H22&gt;=40,"Medium",IF(H22&gt;=20,"Low","At-Risk")))</f>
        <v/>
      </c>
      <c r="J22" s="5" t="inlineStr">
        <is>
          <t>2026-01-03</t>
        </is>
      </c>
      <c r="K22" s="5" t="inlineStr">
        <is>
          <t>richard.green19@example.com</t>
        </is>
      </c>
    </row>
    <row r="23" ht="17" customHeight="1">
      <c r="A23" s="7" t="n">
        <v>20</v>
      </c>
      <c r="B23" s="7" t="inlineStr">
        <is>
          <t>Jennifer</t>
        </is>
      </c>
      <c r="C23" s="7" t="inlineStr">
        <is>
          <t>Baker</t>
        </is>
      </c>
      <c r="D23" s="7" t="inlineStr">
        <is>
          <t>Volunteer</t>
        </is>
      </c>
      <c r="E23" s="7" t="n">
        <v>19</v>
      </c>
      <c r="F23" s="7">
        <f>IFERROR(ROUND(SUMIF('Hours Tracker'!B4:B2000,20,'Hours Tracker'!F4:F2000)/5,0),0)</f>
        <v/>
      </c>
      <c r="G23" s="7">
        <f>IFERROR(MIN(30,ROUND(SUMIF(Donations!B4:B2000,20,Donations!E4:E2000)/50,0)),0)</f>
        <v/>
      </c>
      <c r="H23" s="21">
        <f>MIN(100,E23+F23+G23)</f>
        <v/>
      </c>
      <c r="I23" s="7">
        <f>IF(H23&gt;=70,"High",IF(H23&gt;=40,"Medium",IF(H23&gt;=20,"Low","At-Risk")))</f>
        <v/>
      </c>
      <c r="J23" s="7" t="inlineStr">
        <is>
          <t>2026-04-04</t>
        </is>
      </c>
      <c r="K23" s="7" t="inlineStr">
        <is>
          <t>jennifer.baker20@example.com</t>
        </is>
      </c>
    </row>
    <row r="24" ht="17" customHeight="1">
      <c r="A24" s="5" t="n">
        <v>21</v>
      </c>
      <c r="B24" s="5" t="inlineStr">
        <is>
          <t>William</t>
        </is>
      </c>
      <c r="C24" s="5" t="inlineStr">
        <is>
          <t>Walker</t>
        </is>
      </c>
      <c r="D24" s="5" t="inlineStr">
        <is>
          <t>Both</t>
        </is>
      </c>
      <c r="E24" s="5" t="n">
        <v>45</v>
      </c>
      <c r="F24" s="5">
        <f>IFERROR(ROUND(SUMIF('Hours Tracker'!B4:B2000,21,'Hours Tracker'!F4:F2000)/5,0),0)</f>
        <v/>
      </c>
      <c r="G24" s="5">
        <f>IFERROR(MIN(30,ROUND(SUMIF(Donations!B4:B2000,21,Donations!E4:E2000)/50,0)),0)</f>
        <v/>
      </c>
      <c r="H24" s="18">
        <f>MIN(100,E24+F24+G24)</f>
        <v/>
      </c>
      <c r="I24" s="5">
        <f>IF(H24&gt;=70,"High",IF(H24&gt;=40,"Medium",IF(H24&gt;=20,"Low","At-Risk")))</f>
        <v/>
      </c>
      <c r="J24" s="5" t="inlineStr">
        <is>
          <t>2025-10-03</t>
        </is>
      </c>
      <c r="K24" s="5" t="inlineStr">
        <is>
          <t>william.walker21@example.com</t>
        </is>
      </c>
    </row>
    <row r="25" ht="17" customHeight="1">
      <c r="A25" s="7" t="n">
        <v>22</v>
      </c>
      <c r="B25" s="7" t="inlineStr">
        <is>
          <t>Dorothy</t>
        </is>
      </c>
      <c r="C25" s="7" t="inlineStr">
        <is>
          <t>Chen</t>
        </is>
      </c>
      <c r="D25" s="7" t="inlineStr">
        <is>
          <t>Volunteer</t>
        </is>
      </c>
      <c r="E25" s="7" t="n">
        <v>31</v>
      </c>
      <c r="F25" s="7">
        <f>IFERROR(ROUND(SUMIF('Hours Tracker'!B4:B2000,22,'Hours Tracker'!F4:F2000)/5,0),0)</f>
        <v/>
      </c>
      <c r="G25" s="7">
        <f>IFERROR(MIN(30,ROUND(SUMIF(Donations!B4:B2000,22,Donations!E4:E2000)/50,0)),0)</f>
        <v/>
      </c>
      <c r="H25" s="21">
        <f>MIN(100,E25+F25+G25)</f>
        <v/>
      </c>
      <c r="I25" s="7">
        <f>IF(H25&gt;=70,"High",IF(H25&gt;=40,"Medium",IF(H25&gt;=20,"Low","At-Risk")))</f>
        <v/>
      </c>
      <c r="J25" s="7" t="inlineStr">
        <is>
          <t>2026-02-25</t>
        </is>
      </c>
      <c r="K25" s="7" t="inlineStr">
        <is>
          <t>dorothy.chen22@example.com</t>
        </is>
      </c>
    </row>
    <row r="26" ht="17" customHeight="1">
      <c r="A26" s="5" t="n">
        <v>23</v>
      </c>
      <c r="B26" s="5" t="inlineStr">
        <is>
          <t>Sarah</t>
        </is>
      </c>
      <c r="C26" s="5" t="inlineStr">
        <is>
          <t>Adams</t>
        </is>
      </c>
      <c r="D26" s="5" t="inlineStr">
        <is>
          <t>Volunteer</t>
        </is>
      </c>
      <c r="E26" s="5" t="n">
        <v>42</v>
      </c>
      <c r="F26" s="5">
        <f>IFERROR(ROUND(SUMIF('Hours Tracker'!B4:B2000,23,'Hours Tracker'!F4:F2000)/5,0),0)</f>
        <v/>
      </c>
      <c r="G26" s="5">
        <f>IFERROR(MIN(30,ROUND(SUMIF(Donations!B4:B2000,23,Donations!E4:E2000)/50,0)),0)</f>
        <v/>
      </c>
      <c r="H26" s="18">
        <f>MIN(100,E26+F26+G26)</f>
        <v/>
      </c>
      <c r="I26" s="5">
        <f>IF(H26&gt;=70,"High",IF(H26&gt;=40,"Medium",IF(H26&gt;=20,"Low","At-Risk")))</f>
        <v/>
      </c>
      <c r="J26" s="5" t="inlineStr">
        <is>
          <t>2025-12-27</t>
        </is>
      </c>
      <c r="K26" s="5" t="inlineStr">
        <is>
          <t>sarah.adams23@example.com</t>
        </is>
      </c>
    </row>
    <row r="27" ht="17" customHeight="1">
      <c r="A27" s="7" t="n">
        <v>24</v>
      </c>
      <c r="B27" s="7" t="inlineStr">
        <is>
          <t>Matthew</t>
        </is>
      </c>
      <c r="C27" s="7" t="inlineStr">
        <is>
          <t>Wright</t>
        </is>
      </c>
      <c r="D27" s="7" t="inlineStr">
        <is>
          <t>Volunteer</t>
        </is>
      </c>
      <c r="E27" s="7" t="n">
        <v>46</v>
      </c>
      <c r="F27" s="7">
        <f>IFERROR(ROUND(SUMIF('Hours Tracker'!B4:B2000,24,'Hours Tracker'!F4:F2000)/5,0),0)</f>
        <v/>
      </c>
      <c r="G27" s="7">
        <f>IFERROR(MIN(30,ROUND(SUMIF(Donations!B4:B2000,24,Donations!E4:E2000)/50,0)),0)</f>
        <v/>
      </c>
      <c r="H27" s="21">
        <f>MIN(100,E27+F27+G27)</f>
        <v/>
      </c>
      <c r="I27" s="7">
        <f>IF(H27&gt;=70,"High",IF(H27&gt;=40,"Medium",IF(H27&gt;=20,"Low","At-Risk")))</f>
        <v/>
      </c>
      <c r="J27" s="7" t="inlineStr">
        <is>
          <t>2026-01-12</t>
        </is>
      </c>
      <c r="K27" s="7" t="inlineStr">
        <is>
          <t>matthew.wright24@example.com</t>
        </is>
      </c>
    </row>
    <row r="28" ht="17" customHeight="1">
      <c r="A28" s="5" t="n">
        <v>25</v>
      </c>
      <c r="B28" s="5" t="inlineStr">
        <is>
          <t>James</t>
        </is>
      </c>
      <c r="C28" s="5" t="inlineStr">
        <is>
          <t>Mitchell</t>
        </is>
      </c>
      <c r="D28" s="5" t="inlineStr">
        <is>
          <t>Volunteer</t>
        </is>
      </c>
      <c r="E28" s="5" t="n">
        <v>43</v>
      </c>
      <c r="F28" s="5">
        <f>IFERROR(ROUND(SUMIF('Hours Tracker'!B4:B2000,25,'Hours Tracker'!F4:F2000)/5,0),0)</f>
        <v/>
      </c>
      <c r="G28" s="5">
        <f>IFERROR(MIN(30,ROUND(SUMIF(Donations!B4:B2000,25,Donations!E4:E2000)/50,0)),0)</f>
        <v/>
      </c>
      <c r="H28" s="18">
        <f>MIN(100,E28+F28+G28)</f>
        <v/>
      </c>
      <c r="I28" s="5">
        <f>IF(H28&gt;=70,"High",IF(H28&gt;=40,"Medium",IF(H28&gt;=20,"Low","At-Risk")))</f>
        <v/>
      </c>
      <c r="J28" s="5" t="inlineStr">
        <is>
          <t>2025-10-09</t>
        </is>
      </c>
      <c r="K28" s="5" t="inlineStr">
        <is>
          <t>james.mitchell25@example.com</t>
        </is>
      </c>
    </row>
    <row r="29" ht="17" customHeight="1">
      <c r="A29" s="7" t="n">
        <v>26</v>
      </c>
      <c r="B29" s="7" t="inlineStr">
        <is>
          <t>Robert</t>
        </is>
      </c>
      <c r="C29" s="7" t="inlineStr">
        <is>
          <t>White</t>
        </is>
      </c>
      <c r="D29" s="7" t="inlineStr">
        <is>
          <t>Volunteer</t>
        </is>
      </c>
      <c r="E29" s="7" t="n">
        <v>27</v>
      </c>
      <c r="F29" s="7">
        <f>IFERROR(ROUND(SUMIF('Hours Tracker'!B4:B2000,26,'Hours Tracker'!F4:F2000)/5,0),0)</f>
        <v/>
      </c>
      <c r="G29" s="7">
        <f>IFERROR(MIN(30,ROUND(SUMIF(Donations!B4:B2000,26,Donations!E4:E2000)/50,0)),0)</f>
        <v/>
      </c>
      <c r="H29" s="21">
        <f>MIN(100,E29+F29+G29)</f>
        <v/>
      </c>
      <c r="I29" s="7">
        <f>IF(H29&gt;=70,"High",IF(H29&gt;=40,"Medium",IF(H29&gt;=20,"Low","At-Risk")))</f>
        <v/>
      </c>
      <c r="J29" s="7" t="inlineStr">
        <is>
          <t>2025-11-28</t>
        </is>
      </c>
      <c r="K29" s="7" t="inlineStr">
        <is>
          <t>robert.white26@example.com</t>
        </is>
      </c>
    </row>
    <row r="30" ht="17" customHeight="1">
      <c r="A30" s="5" t="n">
        <v>27</v>
      </c>
      <c r="B30" s="5" t="inlineStr">
        <is>
          <t>Thomas</t>
        </is>
      </c>
      <c r="C30" s="5" t="inlineStr">
        <is>
          <t>Garcia</t>
        </is>
      </c>
      <c r="D30" s="5" t="inlineStr">
        <is>
          <t>Donor</t>
        </is>
      </c>
      <c r="E30" s="5" t="n">
        <v>84</v>
      </c>
      <c r="F30" s="5">
        <f>IFERROR(ROUND(SUMIF('Hours Tracker'!B4:B2000,27,'Hours Tracker'!F4:F2000)/5,0),0)</f>
        <v/>
      </c>
      <c r="G30" s="5">
        <f>IFERROR(MIN(30,ROUND(SUMIF(Donations!B4:B2000,27,Donations!E4:E2000)/50,0)),0)</f>
        <v/>
      </c>
      <c r="H30" s="18">
        <f>MIN(100,E30+F30+G30)</f>
        <v/>
      </c>
      <c r="I30" s="5">
        <f>IF(H30&gt;=70,"High",IF(H30&gt;=40,"Medium",IF(H30&gt;=20,"Low","At-Risk")))</f>
        <v/>
      </c>
      <c r="J30" s="5" t="inlineStr">
        <is>
          <t>2025-11-12</t>
        </is>
      </c>
      <c r="K30" s="5" t="inlineStr">
        <is>
          <t>thomas.garcia27@example.com</t>
        </is>
      </c>
    </row>
    <row r="31" ht="17" customHeight="1">
      <c r="A31" s="7" t="n">
        <v>28</v>
      </c>
      <c r="B31" s="7" t="inlineStr">
        <is>
          <t>Steven</t>
        </is>
      </c>
      <c r="C31" s="7" t="inlineStr">
        <is>
          <t>Harris</t>
        </is>
      </c>
      <c r="D31" s="7" t="inlineStr">
        <is>
          <t>Both</t>
        </is>
      </c>
      <c r="E31" s="7" t="n">
        <v>39</v>
      </c>
      <c r="F31" s="7">
        <f>IFERROR(ROUND(SUMIF('Hours Tracker'!B4:B2000,28,'Hours Tracker'!F4:F2000)/5,0),0)</f>
        <v/>
      </c>
      <c r="G31" s="7">
        <f>IFERROR(MIN(30,ROUND(SUMIF(Donations!B4:B2000,28,Donations!E4:E2000)/50,0)),0)</f>
        <v/>
      </c>
      <c r="H31" s="21">
        <f>MIN(100,E31+F31+G31)</f>
        <v/>
      </c>
      <c r="I31" s="7">
        <f>IF(H31&gt;=70,"High",IF(H31&gt;=40,"Medium",IF(H31&gt;=20,"Low","At-Risk")))</f>
        <v/>
      </c>
      <c r="J31" s="7" t="inlineStr">
        <is>
          <t>2025-10-22</t>
        </is>
      </c>
      <c r="K31" s="7" t="inlineStr">
        <is>
          <t>steven.harris28@example.com</t>
        </is>
      </c>
    </row>
    <row r="32" ht="17" customHeight="1">
      <c r="A32" s="5" t="n">
        <v>29</v>
      </c>
      <c r="B32" s="5" t="inlineStr">
        <is>
          <t>Sandra</t>
        </is>
      </c>
      <c r="C32" s="5" t="inlineStr">
        <is>
          <t>Lewis</t>
        </is>
      </c>
      <c r="D32" s="5" t="inlineStr">
        <is>
          <t>Both</t>
        </is>
      </c>
      <c r="E32" s="5" t="n">
        <v>21</v>
      </c>
      <c r="F32" s="5">
        <f>IFERROR(ROUND(SUMIF('Hours Tracker'!B4:B2000,29,'Hours Tracker'!F4:F2000)/5,0),0)</f>
        <v/>
      </c>
      <c r="G32" s="5">
        <f>IFERROR(MIN(30,ROUND(SUMIF(Donations!B4:B2000,29,Donations!E4:E2000)/50,0)),0)</f>
        <v/>
      </c>
      <c r="H32" s="18">
        <f>MIN(100,E32+F32+G32)</f>
        <v/>
      </c>
      <c r="I32" s="5">
        <f>IF(H32&gt;=70,"High",IF(H32&gt;=40,"Medium",IF(H32&gt;=20,"Low","At-Risk")))</f>
        <v/>
      </c>
      <c r="J32" s="5" t="inlineStr">
        <is>
          <t>2025-12-26</t>
        </is>
      </c>
      <c r="K32" s="5" t="inlineStr">
        <is>
          <t>sandra.lewis29@example.com</t>
        </is>
      </c>
    </row>
    <row r="33" ht="17" customHeight="1">
      <c r="A33" s="7" t="n">
        <v>30</v>
      </c>
      <c r="B33" s="7" t="inlineStr">
        <is>
          <t>Daniel</t>
        </is>
      </c>
      <c r="C33" s="7" t="inlineStr">
        <is>
          <t>Nguyen</t>
        </is>
      </c>
      <c r="D33" s="7" t="inlineStr">
        <is>
          <t>Donor</t>
        </is>
      </c>
      <c r="E33" s="7" t="n">
        <v>83</v>
      </c>
      <c r="F33" s="7">
        <f>IFERROR(ROUND(SUMIF('Hours Tracker'!B4:B2000,30,'Hours Tracker'!F4:F2000)/5,0),0)</f>
        <v/>
      </c>
      <c r="G33" s="7">
        <f>IFERROR(MIN(30,ROUND(SUMIF(Donations!B4:B2000,30,Donations!E4:E2000)/50,0)),0)</f>
        <v/>
      </c>
      <c r="H33" s="21">
        <f>MIN(100,E33+F33+G33)</f>
        <v/>
      </c>
      <c r="I33" s="7">
        <f>IF(H33&gt;=70,"High",IF(H33&gt;=40,"Medium",IF(H33&gt;=20,"Low","At-Risk")))</f>
        <v/>
      </c>
      <c r="J33" s="7" t="inlineStr">
        <is>
          <t>2025-12-21</t>
        </is>
      </c>
      <c r="K33" s="7" t="inlineStr">
        <is>
          <t>daniel.nguyen30@example.com</t>
        </is>
      </c>
    </row>
    <row r="34" ht="17" customHeight="1">
      <c r="A34" s="5" t="n">
        <v>31</v>
      </c>
      <c r="B34" s="5" t="inlineStr">
        <is>
          <t>Richard</t>
        </is>
      </c>
      <c r="C34" s="5" t="inlineStr">
        <is>
          <t>Garcia</t>
        </is>
      </c>
      <c r="D34" s="5" t="inlineStr">
        <is>
          <t>Both</t>
        </is>
      </c>
      <c r="E34" s="5" t="n">
        <v>24</v>
      </c>
      <c r="F34" s="5">
        <f>IFERROR(ROUND(SUMIF('Hours Tracker'!B4:B2000,31,'Hours Tracker'!F4:F2000)/5,0),0)</f>
        <v/>
      </c>
      <c r="G34" s="5">
        <f>IFERROR(MIN(30,ROUND(SUMIF(Donations!B4:B2000,31,Donations!E4:E2000)/50,0)),0)</f>
        <v/>
      </c>
      <c r="H34" s="18">
        <f>MIN(100,E34+F34+G34)</f>
        <v/>
      </c>
      <c r="I34" s="5">
        <f>IF(H34&gt;=70,"High",IF(H34&gt;=40,"Medium",IF(H34&gt;=20,"Low","At-Risk")))</f>
        <v/>
      </c>
      <c r="J34" s="5" t="inlineStr">
        <is>
          <t>2026-03-14</t>
        </is>
      </c>
      <c r="K34" s="5" t="inlineStr">
        <is>
          <t>richard.garcia31@example.com</t>
        </is>
      </c>
    </row>
    <row r="35" ht="17" customHeight="1">
      <c r="A35" s="7" t="n">
        <v>32</v>
      </c>
      <c r="B35" s="7" t="inlineStr">
        <is>
          <t>Robert</t>
        </is>
      </c>
      <c r="C35" s="7" t="inlineStr">
        <is>
          <t>Baker</t>
        </is>
      </c>
      <c r="D35" s="7" t="inlineStr">
        <is>
          <t>Volunteer</t>
        </is>
      </c>
      <c r="E35" s="7" t="n">
        <v>29</v>
      </c>
      <c r="F35" s="7">
        <f>IFERROR(ROUND(SUMIF('Hours Tracker'!B4:B2000,32,'Hours Tracker'!F4:F2000)/5,0),0)</f>
        <v/>
      </c>
      <c r="G35" s="7">
        <f>IFERROR(MIN(30,ROUND(SUMIF(Donations!B4:B2000,32,Donations!E4:E2000)/50,0)),0)</f>
        <v/>
      </c>
      <c r="H35" s="21">
        <f>MIN(100,E35+F35+G35)</f>
        <v/>
      </c>
      <c r="I35" s="7">
        <f>IF(H35&gt;=70,"High",IF(H35&gt;=40,"Medium",IF(H35&gt;=20,"Low","At-Risk")))</f>
        <v/>
      </c>
      <c r="J35" s="7" t="inlineStr">
        <is>
          <t>2025-12-25</t>
        </is>
      </c>
      <c r="K35" s="7" t="inlineStr">
        <is>
          <t>robert.baker32@example.com</t>
        </is>
      </c>
    </row>
    <row r="36" ht="17" customHeight="1">
      <c r="A36" s="5" t="n">
        <v>33</v>
      </c>
      <c r="B36" s="5" t="inlineStr">
        <is>
          <t>Dorothy</t>
        </is>
      </c>
      <c r="C36" s="5" t="inlineStr">
        <is>
          <t>Hill</t>
        </is>
      </c>
      <c r="D36" s="5" t="inlineStr">
        <is>
          <t>Donor</t>
        </is>
      </c>
      <c r="E36" s="5" t="n">
        <v>28</v>
      </c>
      <c r="F36" s="5">
        <f>IFERROR(ROUND(SUMIF('Hours Tracker'!B4:B2000,33,'Hours Tracker'!F4:F2000)/5,0),0)</f>
        <v/>
      </c>
      <c r="G36" s="5">
        <f>IFERROR(MIN(30,ROUND(SUMIF(Donations!B4:B2000,33,Donations!E4:E2000)/50,0)),0)</f>
        <v/>
      </c>
      <c r="H36" s="18">
        <f>MIN(100,E36+F36+G36)</f>
        <v/>
      </c>
      <c r="I36" s="5">
        <f>IF(H36&gt;=70,"High",IF(H36&gt;=40,"Medium",IF(H36&gt;=20,"Low","At-Risk")))</f>
        <v/>
      </c>
      <c r="J36" s="5" t="inlineStr">
        <is>
          <t>2026-01-01</t>
        </is>
      </c>
      <c r="K36" s="5" t="inlineStr">
        <is>
          <t>dorothy.hill33@example.com</t>
        </is>
      </c>
    </row>
    <row r="37" ht="17" customHeight="1">
      <c r="A37" s="7" t="n">
        <v>34</v>
      </c>
      <c r="B37" s="7" t="inlineStr">
        <is>
          <t>Maria</t>
        </is>
      </c>
      <c r="C37" s="7" t="inlineStr">
        <is>
          <t>Hall</t>
        </is>
      </c>
      <c r="D37" s="7" t="inlineStr">
        <is>
          <t>Both</t>
        </is>
      </c>
      <c r="E37" s="7" t="n">
        <v>25</v>
      </c>
      <c r="F37" s="7">
        <f>IFERROR(ROUND(SUMIF('Hours Tracker'!B4:B2000,34,'Hours Tracker'!F4:F2000)/5,0),0)</f>
        <v/>
      </c>
      <c r="G37" s="7">
        <f>IFERROR(MIN(30,ROUND(SUMIF(Donations!B4:B2000,34,Donations!E4:E2000)/50,0)),0)</f>
        <v/>
      </c>
      <c r="H37" s="21">
        <f>MIN(100,E37+F37+G37)</f>
        <v/>
      </c>
      <c r="I37" s="7">
        <f>IF(H37&gt;=70,"High",IF(H37&gt;=40,"Medium",IF(H37&gt;=20,"Low","At-Risk")))</f>
        <v/>
      </c>
      <c r="J37" s="7" t="inlineStr">
        <is>
          <t>2025-12-21</t>
        </is>
      </c>
      <c r="K37" s="7" t="inlineStr">
        <is>
          <t>maria.hall34@example.com</t>
        </is>
      </c>
    </row>
    <row r="38" ht="17" customHeight="1">
      <c r="A38" s="5" t="n">
        <v>35</v>
      </c>
      <c r="B38" s="5" t="inlineStr">
        <is>
          <t>Emily</t>
        </is>
      </c>
      <c r="C38" s="5" t="inlineStr">
        <is>
          <t>Scott</t>
        </is>
      </c>
      <c r="D38" s="5" t="inlineStr">
        <is>
          <t>Donor</t>
        </is>
      </c>
      <c r="E38" s="5" t="n">
        <v>42</v>
      </c>
      <c r="F38" s="5">
        <f>IFERROR(ROUND(SUMIF('Hours Tracker'!B4:B2000,35,'Hours Tracker'!F4:F2000)/5,0),0)</f>
        <v/>
      </c>
      <c r="G38" s="5">
        <f>IFERROR(MIN(30,ROUND(SUMIF(Donations!B4:B2000,35,Donations!E4:E2000)/50,0)),0)</f>
        <v/>
      </c>
      <c r="H38" s="18">
        <f>MIN(100,E38+F38+G38)</f>
        <v/>
      </c>
      <c r="I38" s="5">
        <f>IF(H38&gt;=70,"High",IF(H38&gt;=40,"Medium",IF(H38&gt;=20,"Low","At-Risk")))</f>
        <v/>
      </c>
      <c r="J38" s="5" t="inlineStr">
        <is>
          <t>2025-10-02</t>
        </is>
      </c>
      <c r="K38" s="5" t="inlineStr">
        <is>
          <t>emily.scott35@example.com</t>
        </is>
      </c>
    </row>
    <row r="39" ht="17" customHeight="1">
      <c r="A39" s="7" t="n">
        <v>36</v>
      </c>
      <c r="B39" s="7" t="inlineStr">
        <is>
          <t>Andrew</t>
        </is>
      </c>
      <c r="C39" s="7" t="inlineStr">
        <is>
          <t>Kim</t>
        </is>
      </c>
      <c r="D39" s="7" t="inlineStr">
        <is>
          <t>Donor</t>
        </is>
      </c>
      <c r="E39" s="7" t="n">
        <v>21</v>
      </c>
      <c r="F39" s="7">
        <f>IFERROR(ROUND(SUMIF('Hours Tracker'!B4:B2000,36,'Hours Tracker'!F4:F2000)/5,0),0)</f>
        <v/>
      </c>
      <c r="G39" s="7">
        <f>IFERROR(MIN(30,ROUND(SUMIF(Donations!B4:B2000,36,Donations!E4:E2000)/50,0)),0)</f>
        <v/>
      </c>
      <c r="H39" s="21">
        <f>MIN(100,E39+F39+G39)</f>
        <v/>
      </c>
      <c r="I39" s="7">
        <f>IF(H39&gt;=70,"High",IF(H39&gt;=40,"Medium",IF(H39&gt;=20,"Low","At-Risk")))</f>
        <v/>
      </c>
      <c r="J39" s="7" t="inlineStr">
        <is>
          <t>2025-11-24</t>
        </is>
      </c>
      <c r="K39" s="7" t="inlineStr">
        <is>
          <t>andrew.kim36@example.com</t>
        </is>
      </c>
    </row>
    <row r="40" ht="17" customHeight="1">
      <c r="A40" s="5" t="n">
        <v>37</v>
      </c>
      <c r="B40" s="5" t="inlineStr">
        <is>
          <t>Jennifer</t>
        </is>
      </c>
      <c r="C40" s="5" t="inlineStr">
        <is>
          <t>Kim</t>
        </is>
      </c>
      <c r="D40" s="5" t="inlineStr">
        <is>
          <t>Volunteer</t>
        </is>
      </c>
      <c r="E40" s="5" t="n">
        <v>38</v>
      </c>
      <c r="F40" s="5">
        <f>IFERROR(ROUND(SUMIF('Hours Tracker'!B4:B2000,37,'Hours Tracker'!F4:F2000)/5,0),0)</f>
        <v/>
      </c>
      <c r="G40" s="5">
        <f>IFERROR(MIN(30,ROUND(SUMIF(Donations!B4:B2000,37,Donations!E4:E2000)/50,0)),0)</f>
        <v/>
      </c>
      <c r="H40" s="18">
        <f>MIN(100,E40+F40+G40)</f>
        <v/>
      </c>
      <c r="I40" s="5">
        <f>IF(H40&gt;=70,"High",IF(H40&gt;=40,"Medium",IF(H40&gt;=20,"Low","At-Risk")))</f>
        <v/>
      </c>
      <c r="J40" s="5" t="inlineStr">
        <is>
          <t>2026-03-22</t>
        </is>
      </c>
      <c r="K40" s="5" t="inlineStr">
        <is>
          <t>jennifer.kim37@example.com</t>
        </is>
      </c>
    </row>
    <row r="41" ht="17" customHeight="1">
      <c r="A41" s="7" t="n">
        <v>38</v>
      </c>
      <c r="B41" s="7" t="inlineStr">
        <is>
          <t>Thomas</t>
        </is>
      </c>
      <c r="C41" s="7" t="inlineStr">
        <is>
          <t>Allen</t>
        </is>
      </c>
      <c r="D41" s="7" t="inlineStr">
        <is>
          <t>Volunteer</t>
        </is>
      </c>
      <c r="E41" s="7" t="n">
        <v>18</v>
      </c>
      <c r="F41" s="7">
        <f>IFERROR(ROUND(SUMIF('Hours Tracker'!B4:B2000,38,'Hours Tracker'!F4:F2000)/5,0),0)</f>
        <v/>
      </c>
      <c r="G41" s="7">
        <f>IFERROR(MIN(30,ROUND(SUMIF(Donations!B4:B2000,38,Donations!E4:E2000)/50,0)),0)</f>
        <v/>
      </c>
      <c r="H41" s="21">
        <f>MIN(100,E41+F41+G41)</f>
        <v/>
      </c>
      <c r="I41" s="7">
        <f>IF(H41&gt;=70,"High",IF(H41&gt;=40,"Medium",IF(H41&gt;=20,"Low","At-Risk")))</f>
        <v/>
      </c>
      <c r="J41" s="7" t="inlineStr">
        <is>
          <t>2025-11-07</t>
        </is>
      </c>
      <c r="K41" s="7" t="inlineStr">
        <is>
          <t>thomas.allen38@example.com</t>
        </is>
      </c>
    </row>
    <row r="42" ht="17" customHeight="1">
      <c r="A42" s="5" t="n">
        <v>39</v>
      </c>
      <c r="B42" s="5" t="inlineStr">
        <is>
          <t>Patricia</t>
        </is>
      </c>
      <c r="C42" s="5" t="inlineStr">
        <is>
          <t>Roberts</t>
        </is>
      </c>
      <c r="D42" s="5" t="inlineStr">
        <is>
          <t>Volunteer</t>
        </is>
      </c>
      <c r="E42" s="5" t="n">
        <v>89</v>
      </c>
      <c r="F42" s="5">
        <f>IFERROR(ROUND(SUMIF('Hours Tracker'!B4:B2000,39,'Hours Tracker'!F4:F2000)/5,0),0)</f>
        <v/>
      </c>
      <c r="G42" s="5">
        <f>IFERROR(MIN(30,ROUND(SUMIF(Donations!B4:B2000,39,Donations!E4:E2000)/50,0)),0)</f>
        <v/>
      </c>
      <c r="H42" s="18">
        <f>MIN(100,E42+F42+G42)</f>
        <v/>
      </c>
      <c r="I42" s="5">
        <f>IF(H42&gt;=70,"High",IF(H42&gt;=40,"Medium",IF(H42&gt;=20,"Low","At-Risk")))</f>
        <v/>
      </c>
      <c r="J42" s="5" t="inlineStr">
        <is>
          <t>2026-02-15</t>
        </is>
      </c>
      <c r="K42" s="5" t="inlineStr">
        <is>
          <t>patricia.roberts39@example.com</t>
        </is>
      </c>
    </row>
    <row r="43" ht="17" customHeight="1">
      <c r="A43" s="7" t="n">
        <v>40</v>
      </c>
      <c r="B43" s="7" t="inlineStr">
        <is>
          <t>Lisa</t>
        </is>
      </c>
      <c r="C43" s="7" t="inlineStr">
        <is>
          <t>Harris</t>
        </is>
      </c>
      <c r="D43" s="7" t="inlineStr">
        <is>
          <t>Both</t>
        </is>
      </c>
      <c r="E43" s="7" t="n">
        <v>53</v>
      </c>
      <c r="F43" s="7">
        <f>IFERROR(ROUND(SUMIF('Hours Tracker'!B4:B2000,40,'Hours Tracker'!F4:F2000)/5,0),0)</f>
        <v/>
      </c>
      <c r="G43" s="7">
        <f>IFERROR(MIN(30,ROUND(SUMIF(Donations!B4:B2000,40,Donations!E4:E2000)/50,0)),0)</f>
        <v/>
      </c>
      <c r="H43" s="21">
        <f>MIN(100,E43+F43+G43)</f>
        <v/>
      </c>
      <c r="I43" s="7">
        <f>IF(H43&gt;=70,"High",IF(H43&gt;=40,"Medium",IF(H43&gt;=20,"Low","At-Risk")))</f>
        <v/>
      </c>
      <c r="J43" s="7" t="inlineStr">
        <is>
          <t>2025-09-28</t>
        </is>
      </c>
      <c r="K43" s="7" t="inlineStr">
        <is>
          <t>lisa.harris40@example.com</t>
        </is>
      </c>
    </row>
  </sheetData>
  <mergeCells count="2">
    <mergeCell ref="A2:K2"/>
    <mergeCell ref="A1:K1"/>
  </mergeCells>
  <conditionalFormatting sqref="H4:H43">
    <cfRule type="colorScale" priority="1">
      <colorScale>
        <cfvo type="min"/>
        <cfvo type="percentile" val="50"/>
        <cfvo type="max"/>
        <color rgb="00FCEBEB"/>
        <color rgb="00FAEEDA"/>
        <color rgb="00EAF3DE"/>
      </colorScale>
    </cfRule>
  </conditionalFormatting>
  <conditionalFormatting sqref="A4:K43">
    <cfRule type="expression" priority="2" dxfId="0">
      <formula>=$I4="At-Risk"</formula>
    </cfRule>
    <cfRule type="expression" priority="3" dxfId="1">
      <formula>=$I4="High"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5" customWidth="1" min="3" max="3"/>
    <col width="15" customWidth="1" min="4" max="4"/>
    <col width="28" customWidth="1" min="5" max="5"/>
    <col width="12" customWidth="1" min="6" max="6"/>
    <col width="16" customWidth="1" min="7" max="7"/>
    <col width="16" customWidth="1" min="8" max="8"/>
    <col width="22" customWidth="1" min="9" max="9"/>
    <col width="13" customWidth="1" min="10" max="10"/>
    <col width="10" customWidth="1" min="11" max="11"/>
  </cols>
  <sheetData>
    <row r="1" ht="32" customHeight="1">
      <c r="A1" s="27" t="inlineStr">
        <is>
          <t>Donations — Every gift logged here feeds engagement scores automatically</t>
        </is>
      </c>
    </row>
    <row r="2" ht="22" customHeight="1">
      <c r="A2" s="3" t="inlineStr">
        <is>
          <t>Donation ID</t>
        </is>
      </c>
      <c r="B2" s="3" t="inlineStr">
        <is>
          <t>Contact ID</t>
        </is>
      </c>
      <c r="C2" s="3" t="inlineStr">
        <is>
          <t>First name</t>
        </is>
      </c>
      <c r="D2" s="3" t="inlineStr">
        <is>
          <t>Last name</t>
        </is>
      </c>
      <c r="E2" s="3" t="inlineStr">
        <is>
          <t>Email</t>
        </is>
      </c>
      <c r="F2" s="3" t="inlineStr">
        <is>
          <t>Amount</t>
        </is>
      </c>
      <c r="G2" s="3" t="inlineStr">
        <is>
          <t>Fund</t>
        </is>
      </c>
      <c r="H2" s="3" t="inlineStr">
        <is>
          <t>Method</t>
        </is>
      </c>
      <c r="I2" s="3" t="inlineStr">
        <is>
          <t>Campaign</t>
        </is>
      </c>
      <c r="J2" s="3" t="inlineStr">
        <is>
          <t>Date</t>
        </is>
      </c>
      <c r="K2" s="3" t="inlineStr">
        <is>
          <t>Acknowledged?</t>
        </is>
      </c>
    </row>
    <row r="3" ht="17" customHeight="1">
      <c r="A3" s="5" t="n">
        <v>1</v>
      </c>
      <c r="B3" s="5" t="n">
        <v>1</v>
      </c>
      <c r="C3" s="5" t="inlineStr">
        <is>
          <t>William</t>
        </is>
      </c>
      <c r="D3" s="5" t="inlineStr">
        <is>
          <t>Thornton</t>
        </is>
      </c>
      <c r="E3" s="5" t="inlineStr">
        <is>
          <t>william.thornton1@example.com</t>
        </is>
      </c>
      <c r="F3" s="28" t="n">
        <v>129.63</v>
      </c>
      <c r="G3" s="5" t="inlineStr">
        <is>
          <t>Food Bank</t>
        </is>
      </c>
      <c r="H3" s="5" t="inlineStr">
        <is>
          <t>Check</t>
        </is>
      </c>
      <c r="I3" s="5" t="inlineStr">
        <is>
          <t>Year-End Appeal</t>
        </is>
      </c>
      <c r="J3" s="5" t="inlineStr">
        <is>
          <t>2025-11-21</t>
        </is>
      </c>
      <c r="K3" s="5" t="inlineStr">
        <is>
          <t>Yes</t>
        </is>
      </c>
    </row>
    <row r="4" ht="17" customHeight="1">
      <c r="A4" s="7" t="n">
        <v>2</v>
      </c>
      <c r="B4" s="7" t="n">
        <v>1</v>
      </c>
      <c r="C4" s="7" t="inlineStr">
        <is>
          <t>William</t>
        </is>
      </c>
      <c r="D4" s="7" t="inlineStr">
        <is>
          <t>Thornton</t>
        </is>
      </c>
      <c r="E4" s="7" t="inlineStr">
        <is>
          <t>william.thornton1@example.com</t>
        </is>
      </c>
      <c r="F4" s="29" t="n">
        <v>161.98</v>
      </c>
      <c r="G4" s="7" t="inlineStr">
        <is>
          <t>Food Bank</t>
        </is>
      </c>
      <c r="H4" s="7" t="inlineStr">
        <is>
          <t>Online</t>
        </is>
      </c>
      <c r="I4" s="7" t="inlineStr">
        <is>
          <t>GivingTuesday</t>
        </is>
      </c>
      <c r="J4" s="7" t="inlineStr">
        <is>
          <t>2025-04-27</t>
        </is>
      </c>
      <c r="K4" s="7" t="inlineStr">
        <is>
          <t>Yes</t>
        </is>
      </c>
    </row>
    <row r="5" ht="17" customHeight="1">
      <c r="A5" s="5" t="n">
        <v>3</v>
      </c>
      <c r="B5" s="5" t="n">
        <v>5</v>
      </c>
      <c r="C5" s="5" t="inlineStr">
        <is>
          <t>David</t>
        </is>
      </c>
      <c r="D5" s="5" t="inlineStr">
        <is>
          <t>Jackson</t>
        </is>
      </c>
      <c r="E5" s="5" t="inlineStr">
        <is>
          <t>david.jackson5@example.com</t>
        </is>
      </c>
      <c r="F5" s="28" t="n">
        <v>89.51000000000001</v>
      </c>
      <c r="G5" s="5" t="inlineStr">
        <is>
          <t>Emergency Relief</t>
        </is>
      </c>
      <c r="H5" s="5" t="inlineStr">
        <is>
          <t>Credit card</t>
        </is>
      </c>
      <c r="I5" s="5" t="inlineStr">
        <is>
          <t>Spring Drive</t>
        </is>
      </c>
      <c r="J5" s="5" t="inlineStr">
        <is>
          <t>2026-03-03</t>
        </is>
      </c>
      <c r="K5" s="5" t="inlineStr">
        <is>
          <t>Yes</t>
        </is>
      </c>
    </row>
    <row r="6" ht="17" customHeight="1">
      <c r="A6" s="7" t="n">
        <v>4</v>
      </c>
      <c r="B6" s="7" t="n">
        <v>7</v>
      </c>
      <c r="C6" s="7" t="inlineStr">
        <is>
          <t>Emily</t>
        </is>
      </c>
      <c r="D6" s="7" t="inlineStr">
        <is>
          <t>Martinez</t>
        </is>
      </c>
      <c r="E6" s="7" t="inlineStr">
        <is>
          <t>emily.martinez7@example.com</t>
        </is>
      </c>
      <c r="F6" s="29" t="n">
        <v>130.49</v>
      </c>
      <c r="G6" s="7" t="inlineStr">
        <is>
          <t>Emergency Relief</t>
        </is>
      </c>
      <c r="H6" s="7" t="inlineStr">
        <is>
          <t>Credit card</t>
        </is>
      </c>
      <c r="I6" s="7" t="inlineStr">
        <is>
          <t>Year-End Appeal</t>
        </is>
      </c>
      <c r="J6" s="7" t="inlineStr">
        <is>
          <t>2026-04-05</t>
        </is>
      </c>
      <c r="K6" s="7" t="inlineStr">
        <is>
          <t>Yes</t>
        </is>
      </c>
    </row>
    <row r="7" ht="17" customHeight="1">
      <c r="A7" s="5" t="n">
        <v>5</v>
      </c>
      <c r="B7" s="5" t="n">
        <v>7</v>
      </c>
      <c r="C7" s="5" t="inlineStr">
        <is>
          <t>Emily</t>
        </is>
      </c>
      <c r="D7" s="5" t="inlineStr">
        <is>
          <t>Martinez</t>
        </is>
      </c>
      <c r="E7" s="5" t="inlineStr">
        <is>
          <t>emily.martinez7@example.com</t>
        </is>
      </c>
      <c r="F7" s="28" t="n">
        <v>433.41</v>
      </c>
      <c r="G7" s="5" t="inlineStr">
        <is>
          <t>Food Bank</t>
        </is>
      </c>
      <c r="H7" s="5" t="inlineStr">
        <is>
          <t>Online</t>
        </is>
      </c>
      <c r="I7" s="5" t="inlineStr">
        <is>
          <t>Fall Campaign</t>
        </is>
      </c>
      <c r="J7" s="5" t="inlineStr">
        <is>
          <t>2025-03-05</t>
        </is>
      </c>
      <c r="K7" s="5" t="inlineStr">
        <is>
          <t>Yes</t>
        </is>
      </c>
    </row>
    <row r="8" ht="17" customHeight="1">
      <c r="A8" s="7" t="n">
        <v>6</v>
      </c>
      <c r="B8" s="7" t="n">
        <v>7</v>
      </c>
      <c r="C8" s="7" t="inlineStr">
        <is>
          <t>Emily</t>
        </is>
      </c>
      <c r="D8" s="7" t="inlineStr">
        <is>
          <t>Martinez</t>
        </is>
      </c>
      <c r="E8" s="7" t="inlineStr">
        <is>
          <t>emily.martinez7@example.com</t>
        </is>
      </c>
      <c r="F8" s="29" t="n">
        <v>35.73</v>
      </c>
      <c r="G8" s="7" t="inlineStr">
        <is>
          <t>Endowment</t>
        </is>
      </c>
      <c r="H8" s="7" t="inlineStr">
        <is>
          <t>Credit card</t>
        </is>
      </c>
      <c r="I8" s="7" t="inlineStr"/>
      <c r="J8" s="7" t="inlineStr">
        <is>
          <t>2025-05-02</t>
        </is>
      </c>
      <c r="K8" s="7" t="inlineStr">
        <is>
          <t>Yes</t>
        </is>
      </c>
    </row>
    <row r="9" ht="17" customHeight="1">
      <c r="A9" s="5" t="n">
        <v>7</v>
      </c>
      <c r="B9" s="5" t="n">
        <v>7</v>
      </c>
      <c r="C9" s="5" t="inlineStr">
        <is>
          <t>Emily</t>
        </is>
      </c>
      <c r="D9" s="5" t="inlineStr">
        <is>
          <t>Martinez</t>
        </is>
      </c>
      <c r="E9" s="5" t="inlineStr">
        <is>
          <t>emily.martinez7@example.com</t>
        </is>
      </c>
      <c r="F9" s="28" t="n">
        <v>594.83</v>
      </c>
      <c r="G9" s="5" t="inlineStr">
        <is>
          <t>Emergency Relief</t>
        </is>
      </c>
      <c r="H9" s="5" t="inlineStr">
        <is>
          <t>Credit card</t>
        </is>
      </c>
      <c r="I9" s="5" t="inlineStr">
        <is>
          <t>GivingTuesday</t>
        </is>
      </c>
      <c r="J9" s="5" t="inlineStr">
        <is>
          <t>2025-09-07</t>
        </is>
      </c>
      <c r="K9" s="5" t="inlineStr">
        <is>
          <t>Yes</t>
        </is>
      </c>
    </row>
    <row r="10" ht="17" customHeight="1">
      <c r="A10" s="7" t="n">
        <v>8</v>
      </c>
      <c r="B10" s="7" t="n">
        <v>9</v>
      </c>
      <c r="C10" s="7" t="inlineStr">
        <is>
          <t>Ashley</t>
        </is>
      </c>
      <c r="D10" s="7" t="inlineStr">
        <is>
          <t>Walker</t>
        </is>
      </c>
      <c r="E10" s="7" t="inlineStr">
        <is>
          <t>ashley.walker9@example.com</t>
        </is>
      </c>
      <c r="F10" s="29" t="n">
        <v>47.98</v>
      </c>
      <c r="G10" s="7" t="inlineStr">
        <is>
          <t>Food Bank</t>
        </is>
      </c>
      <c r="H10" s="7" t="inlineStr">
        <is>
          <t>Cash</t>
        </is>
      </c>
      <c r="I10" s="7" t="inlineStr">
        <is>
          <t>Spring Drive</t>
        </is>
      </c>
      <c r="J10" s="7" t="inlineStr">
        <is>
          <t>2026-03-04</t>
        </is>
      </c>
      <c r="K10" s="7" t="inlineStr">
        <is>
          <t>Yes</t>
        </is>
      </c>
    </row>
    <row r="11" ht="17" customHeight="1">
      <c r="A11" s="5" t="n">
        <v>9</v>
      </c>
      <c r="B11" s="5" t="n">
        <v>10</v>
      </c>
      <c r="C11" s="5" t="inlineStr">
        <is>
          <t>Linda</t>
        </is>
      </c>
      <c r="D11" s="5" t="inlineStr">
        <is>
          <t>Perez</t>
        </is>
      </c>
      <c r="E11" s="5" t="inlineStr">
        <is>
          <t>linda.perez10@example.com</t>
        </is>
      </c>
      <c r="F11" s="28" t="n">
        <v>351.75</v>
      </c>
      <c r="G11" s="5" t="inlineStr">
        <is>
          <t>Emergency Relief</t>
        </is>
      </c>
      <c r="H11" s="5" t="inlineStr">
        <is>
          <t>Credit card</t>
        </is>
      </c>
      <c r="I11" s="5" t="inlineStr"/>
      <c r="J11" s="5" t="inlineStr">
        <is>
          <t>2026-02-07</t>
        </is>
      </c>
      <c r="K11" s="5" t="inlineStr">
        <is>
          <t>Yes</t>
        </is>
      </c>
    </row>
    <row r="12" ht="17" customHeight="1">
      <c r="A12" s="7" t="n">
        <v>10</v>
      </c>
      <c r="B12" s="7" t="n">
        <v>11</v>
      </c>
      <c r="C12" s="7" t="inlineStr">
        <is>
          <t>Charles</t>
        </is>
      </c>
      <c r="D12" s="7" t="inlineStr">
        <is>
          <t>Nelson</t>
        </is>
      </c>
      <c r="E12" s="7" t="inlineStr">
        <is>
          <t>charles.nelson11@example.com</t>
        </is>
      </c>
      <c r="F12" s="29" t="n">
        <v>1589.9</v>
      </c>
      <c r="G12" s="7" t="inlineStr">
        <is>
          <t>Emergency Relief</t>
        </is>
      </c>
      <c r="H12" s="7" t="inlineStr">
        <is>
          <t>Online</t>
        </is>
      </c>
      <c r="I12" s="7" t="inlineStr">
        <is>
          <t>GivingTuesday</t>
        </is>
      </c>
      <c r="J12" s="7" t="inlineStr">
        <is>
          <t>2025-11-09</t>
        </is>
      </c>
      <c r="K12" s="7" t="inlineStr">
        <is>
          <t>Yes</t>
        </is>
      </c>
    </row>
    <row r="13" ht="17" customHeight="1">
      <c r="A13" s="5" t="n">
        <v>11</v>
      </c>
      <c r="B13" s="5" t="n">
        <v>11</v>
      </c>
      <c r="C13" s="5" t="inlineStr">
        <is>
          <t>Charles</t>
        </is>
      </c>
      <c r="D13" s="5" t="inlineStr">
        <is>
          <t>Nelson</t>
        </is>
      </c>
      <c r="E13" s="5" t="inlineStr">
        <is>
          <t>charles.nelson11@example.com</t>
        </is>
      </c>
      <c r="F13" s="28" t="n">
        <v>477.14</v>
      </c>
      <c r="G13" s="5" t="inlineStr">
        <is>
          <t>Food Bank</t>
        </is>
      </c>
      <c r="H13" s="5" t="inlineStr">
        <is>
          <t>Online</t>
        </is>
      </c>
      <c r="I13" s="5" t="inlineStr">
        <is>
          <t>Year-End Appeal</t>
        </is>
      </c>
      <c r="J13" s="5" t="inlineStr">
        <is>
          <t>2025-02-17</t>
        </is>
      </c>
      <c r="K13" s="5" t="inlineStr">
        <is>
          <t>Yes</t>
        </is>
      </c>
    </row>
    <row r="14" ht="17" customHeight="1">
      <c r="A14" s="7" t="n">
        <v>12</v>
      </c>
      <c r="B14" s="7" t="n">
        <v>11</v>
      </c>
      <c r="C14" s="7" t="inlineStr">
        <is>
          <t>Charles</t>
        </is>
      </c>
      <c r="D14" s="7" t="inlineStr">
        <is>
          <t>Nelson</t>
        </is>
      </c>
      <c r="E14" s="7" t="inlineStr">
        <is>
          <t>charles.nelson11@example.com</t>
        </is>
      </c>
      <c r="F14" s="29" t="n">
        <v>291.76</v>
      </c>
      <c r="G14" s="7" t="inlineStr">
        <is>
          <t>Youth Programs</t>
        </is>
      </c>
      <c r="H14" s="7" t="inlineStr">
        <is>
          <t>Credit card</t>
        </is>
      </c>
      <c r="I14" s="7" t="inlineStr">
        <is>
          <t>Spring Drive</t>
        </is>
      </c>
      <c r="J14" s="7" t="inlineStr">
        <is>
          <t>2025-09-09</t>
        </is>
      </c>
      <c r="K14" s="7" t="inlineStr">
        <is>
          <t>Yes</t>
        </is>
      </c>
    </row>
    <row r="15" ht="17" customHeight="1">
      <c r="A15" s="5" t="n">
        <v>13</v>
      </c>
      <c r="B15" s="5" t="n">
        <v>11</v>
      </c>
      <c r="C15" s="5" t="inlineStr">
        <is>
          <t>Charles</t>
        </is>
      </c>
      <c r="D15" s="5" t="inlineStr">
        <is>
          <t>Nelson</t>
        </is>
      </c>
      <c r="E15" s="5" t="inlineStr">
        <is>
          <t>charles.nelson11@example.com</t>
        </is>
      </c>
      <c r="F15" s="28" t="n">
        <v>131.67</v>
      </c>
      <c r="G15" s="5" t="inlineStr">
        <is>
          <t>Food Bank</t>
        </is>
      </c>
      <c r="H15" s="5" t="inlineStr">
        <is>
          <t>Online</t>
        </is>
      </c>
      <c r="I15" s="5" t="inlineStr">
        <is>
          <t>GivingTuesday</t>
        </is>
      </c>
      <c r="J15" s="5" t="inlineStr">
        <is>
          <t>2025-01-12</t>
        </is>
      </c>
      <c r="K15" s="5" t="inlineStr">
        <is>
          <t>Yes</t>
        </is>
      </c>
    </row>
    <row r="16" ht="17" customHeight="1">
      <c r="A16" s="7" t="n">
        <v>14</v>
      </c>
      <c r="B16" s="7" t="n">
        <v>13</v>
      </c>
      <c r="C16" s="7" t="inlineStr">
        <is>
          <t>Dorothy</t>
        </is>
      </c>
      <c r="D16" s="7" t="inlineStr">
        <is>
          <t>Allen</t>
        </is>
      </c>
      <c r="E16" s="7" t="inlineStr">
        <is>
          <t>dorothy.allen13@example.com</t>
        </is>
      </c>
      <c r="F16" s="29" t="n">
        <v>48.09</v>
      </c>
      <c r="G16" s="7" t="inlineStr">
        <is>
          <t>Emergency Relief</t>
        </is>
      </c>
      <c r="H16" s="7" t="inlineStr">
        <is>
          <t>Online</t>
        </is>
      </c>
      <c r="I16" s="7" t="inlineStr">
        <is>
          <t>Fall Campaign</t>
        </is>
      </c>
      <c r="J16" s="7" t="inlineStr">
        <is>
          <t>2026-02-19</t>
        </is>
      </c>
      <c r="K16" s="7" t="inlineStr">
        <is>
          <t>Yes</t>
        </is>
      </c>
    </row>
    <row r="17" ht="17" customHeight="1">
      <c r="A17" s="5" t="n">
        <v>15</v>
      </c>
      <c r="B17" s="5" t="n">
        <v>13</v>
      </c>
      <c r="C17" s="5" t="inlineStr">
        <is>
          <t>Dorothy</t>
        </is>
      </c>
      <c r="D17" s="5" t="inlineStr">
        <is>
          <t>Allen</t>
        </is>
      </c>
      <c r="E17" s="5" t="inlineStr">
        <is>
          <t>dorothy.allen13@example.com</t>
        </is>
      </c>
      <c r="F17" s="28" t="n">
        <v>1395.72</v>
      </c>
      <c r="G17" s="5" t="inlineStr">
        <is>
          <t>General Fund</t>
        </is>
      </c>
      <c r="H17" s="5" t="inlineStr">
        <is>
          <t>Online</t>
        </is>
      </c>
      <c r="I17" s="5" t="inlineStr">
        <is>
          <t>Year-End Appeal</t>
        </is>
      </c>
      <c r="J17" s="5" t="inlineStr">
        <is>
          <t>2025-02-04</t>
        </is>
      </c>
      <c r="K17" s="5" t="inlineStr">
        <is>
          <t>Yes</t>
        </is>
      </c>
    </row>
    <row r="18" ht="17" customHeight="1">
      <c r="A18" s="7" t="n">
        <v>16</v>
      </c>
      <c r="B18" s="7" t="n">
        <v>13</v>
      </c>
      <c r="C18" s="7" t="inlineStr">
        <is>
          <t>Dorothy</t>
        </is>
      </c>
      <c r="D18" s="7" t="inlineStr">
        <is>
          <t>Allen</t>
        </is>
      </c>
      <c r="E18" s="7" t="inlineStr">
        <is>
          <t>dorothy.allen13@example.com</t>
        </is>
      </c>
      <c r="F18" s="29" t="n">
        <v>84.02</v>
      </c>
      <c r="G18" s="7" t="inlineStr">
        <is>
          <t>Youth Programs</t>
        </is>
      </c>
      <c r="H18" s="7" t="inlineStr">
        <is>
          <t>Online</t>
        </is>
      </c>
      <c r="I18" s="7" t="inlineStr"/>
      <c r="J18" s="7" t="inlineStr">
        <is>
          <t>2025-08-27</t>
        </is>
      </c>
      <c r="K18" s="7" t="inlineStr">
        <is>
          <t>Yes</t>
        </is>
      </c>
    </row>
    <row r="19" ht="17" customHeight="1">
      <c r="A19" s="5" t="n">
        <v>17</v>
      </c>
      <c r="B19" s="5" t="n">
        <v>14</v>
      </c>
      <c r="C19" s="5" t="inlineStr">
        <is>
          <t>Emily</t>
        </is>
      </c>
      <c r="D19" s="5" t="inlineStr">
        <is>
          <t>Baker</t>
        </is>
      </c>
      <c r="E19" s="5" t="inlineStr">
        <is>
          <t>emily.baker14@example.com</t>
        </is>
      </c>
      <c r="F19" s="28" t="n">
        <v>85.98</v>
      </c>
      <c r="G19" s="5" t="inlineStr">
        <is>
          <t>Youth Programs</t>
        </is>
      </c>
      <c r="H19" s="5" t="inlineStr">
        <is>
          <t>Credit card</t>
        </is>
      </c>
      <c r="I19" s="5" t="inlineStr">
        <is>
          <t>Fall Campaign</t>
        </is>
      </c>
      <c r="J19" s="5" t="inlineStr">
        <is>
          <t>2025-11-09</t>
        </is>
      </c>
      <c r="K19" s="5" t="inlineStr">
        <is>
          <t>Yes</t>
        </is>
      </c>
    </row>
    <row r="20" ht="17" customHeight="1">
      <c r="A20" s="7" t="n">
        <v>18</v>
      </c>
      <c r="B20" s="7" t="n">
        <v>14</v>
      </c>
      <c r="C20" s="7" t="inlineStr">
        <is>
          <t>Emily</t>
        </is>
      </c>
      <c r="D20" s="7" t="inlineStr">
        <is>
          <t>Baker</t>
        </is>
      </c>
      <c r="E20" s="7" t="inlineStr">
        <is>
          <t>emily.baker14@example.com</t>
        </is>
      </c>
      <c r="F20" s="29" t="n">
        <v>22.9</v>
      </c>
      <c r="G20" s="7" t="inlineStr">
        <is>
          <t>Youth Programs</t>
        </is>
      </c>
      <c r="H20" s="7" t="inlineStr">
        <is>
          <t>Check</t>
        </is>
      </c>
      <c r="I20" s="7" t="inlineStr"/>
      <c r="J20" s="7" t="inlineStr">
        <is>
          <t>2025-02-27</t>
        </is>
      </c>
      <c r="K20" s="7" t="inlineStr">
        <is>
          <t>Yes</t>
        </is>
      </c>
    </row>
    <row r="21" ht="17" customHeight="1">
      <c r="A21" s="5" t="n">
        <v>19</v>
      </c>
      <c r="B21" s="5" t="n">
        <v>15</v>
      </c>
      <c r="C21" s="5" t="inlineStr">
        <is>
          <t>Elizabeth</t>
        </is>
      </c>
      <c r="D21" s="5" t="inlineStr">
        <is>
          <t>Green</t>
        </is>
      </c>
      <c r="E21" s="5" t="inlineStr">
        <is>
          <t>elizabeth.green15@example.com</t>
        </is>
      </c>
      <c r="F21" s="28" t="n">
        <v>37.29</v>
      </c>
      <c r="G21" s="5" t="inlineStr">
        <is>
          <t>General Fund</t>
        </is>
      </c>
      <c r="H21" s="5" t="inlineStr">
        <is>
          <t>Check</t>
        </is>
      </c>
      <c r="I21" s="5" t="inlineStr">
        <is>
          <t>Spring Drive</t>
        </is>
      </c>
      <c r="J21" s="5" t="inlineStr">
        <is>
          <t>2026-02-23</t>
        </is>
      </c>
      <c r="K21" s="5" t="inlineStr">
        <is>
          <t>Yes</t>
        </is>
      </c>
    </row>
    <row r="22" ht="17" customHeight="1">
      <c r="A22" s="7" t="n">
        <v>20</v>
      </c>
      <c r="B22" s="7" t="n">
        <v>15</v>
      </c>
      <c r="C22" s="7" t="inlineStr">
        <is>
          <t>Elizabeth</t>
        </is>
      </c>
      <c r="D22" s="7" t="inlineStr">
        <is>
          <t>Green</t>
        </is>
      </c>
      <c r="E22" s="7" t="inlineStr">
        <is>
          <t>elizabeth.green15@example.com</t>
        </is>
      </c>
      <c r="F22" s="29" t="n">
        <v>69.16</v>
      </c>
      <c r="G22" s="7" t="inlineStr">
        <is>
          <t>General Fund</t>
        </is>
      </c>
      <c r="H22" s="7" t="inlineStr">
        <is>
          <t>Check</t>
        </is>
      </c>
      <c r="I22" s="7" t="inlineStr">
        <is>
          <t>Year-End Appeal</t>
        </is>
      </c>
      <c r="J22" s="7" t="inlineStr">
        <is>
          <t>2025-06-29</t>
        </is>
      </c>
      <c r="K22" s="7" t="inlineStr">
        <is>
          <t>Yes</t>
        </is>
      </c>
    </row>
    <row r="23" ht="17" customHeight="1">
      <c r="A23" s="5" t="n">
        <v>21</v>
      </c>
      <c r="B23" s="5" t="n">
        <v>15</v>
      </c>
      <c r="C23" s="5" t="inlineStr">
        <is>
          <t>Elizabeth</t>
        </is>
      </c>
      <c r="D23" s="5" t="inlineStr">
        <is>
          <t>Green</t>
        </is>
      </c>
      <c r="E23" s="5" t="inlineStr">
        <is>
          <t>elizabeth.green15@example.com</t>
        </is>
      </c>
      <c r="F23" s="28" t="n">
        <v>80.63</v>
      </c>
      <c r="G23" s="5" t="inlineStr">
        <is>
          <t>Endowment</t>
        </is>
      </c>
      <c r="H23" s="5" t="inlineStr">
        <is>
          <t>Online</t>
        </is>
      </c>
      <c r="I23" s="5" t="inlineStr">
        <is>
          <t>Spring Drive</t>
        </is>
      </c>
      <c r="J23" s="5" t="inlineStr">
        <is>
          <t>2025-12-03</t>
        </is>
      </c>
      <c r="K23" s="5" t="inlineStr">
        <is>
          <t>Yes</t>
        </is>
      </c>
    </row>
    <row r="24" ht="17" customHeight="1">
      <c r="A24" s="7" t="n">
        <v>22</v>
      </c>
      <c r="B24" s="7" t="n">
        <v>17</v>
      </c>
      <c r="C24" s="7" t="inlineStr">
        <is>
          <t>Emily</t>
        </is>
      </c>
      <c r="D24" s="7" t="inlineStr">
        <is>
          <t>Santos</t>
        </is>
      </c>
      <c r="E24" s="7" t="inlineStr">
        <is>
          <t>emily.santos17@example.com</t>
        </is>
      </c>
      <c r="F24" s="29" t="n">
        <v>126.99</v>
      </c>
      <c r="G24" s="7" t="inlineStr">
        <is>
          <t>General Fund</t>
        </is>
      </c>
      <c r="H24" s="7" t="inlineStr">
        <is>
          <t>Cash</t>
        </is>
      </c>
      <c r="I24" s="7" t="inlineStr"/>
      <c r="J24" s="7" t="inlineStr">
        <is>
          <t>2025-12-15</t>
        </is>
      </c>
      <c r="K24" s="7" t="inlineStr">
        <is>
          <t>Yes</t>
        </is>
      </c>
    </row>
    <row r="25" ht="17" customHeight="1">
      <c r="A25" s="5" t="n">
        <v>23</v>
      </c>
      <c r="B25" s="5" t="n">
        <v>17</v>
      </c>
      <c r="C25" s="5" t="inlineStr">
        <is>
          <t>Emily</t>
        </is>
      </c>
      <c r="D25" s="5" t="inlineStr">
        <is>
          <t>Santos</t>
        </is>
      </c>
      <c r="E25" s="5" t="inlineStr">
        <is>
          <t>emily.santos17@example.com</t>
        </is>
      </c>
      <c r="F25" s="28" t="n">
        <v>282.52</v>
      </c>
      <c r="G25" s="5" t="inlineStr">
        <is>
          <t>Endowment</t>
        </is>
      </c>
      <c r="H25" s="5" t="inlineStr">
        <is>
          <t>Credit card</t>
        </is>
      </c>
      <c r="I25" s="5" t="inlineStr">
        <is>
          <t>GivingTuesday</t>
        </is>
      </c>
      <c r="J25" s="5" t="inlineStr">
        <is>
          <t>2025-09-07</t>
        </is>
      </c>
      <c r="K25" s="5" t="inlineStr">
        <is>
          <t>Yes</t>
        </is>
      </c>
    </row>
    <row r="26" ht="17" customHeight="1">
      <c r="A26" s="7" t="n">
        <v>24</v>
      </c>
      <c r="B26" s="7" t="n">
        <v>17</v>
      </c>
      <c r="C26" s="7" t="inlineStr">
        <is>
          <t>Emily</t>
        </is>
      </c>
      <c r="D26" s="7" t="inlineStr">
        <is>
          <t>Santos</t>
        </is>
      </c>
      <c r="E26" s="7" t="inlineStr">
        <is>
          <t>emily.santos17@example.com</t>
        </is>
      </c>
      <c r="F26" s="29" t="n">
        <v>14.78</v>
      </c>
      <c r="G26" s="7" t="inlineStr">
        <is>
          <t>Emergency Relief</t>
        </is>
      </c>
      <c r="H26" s="7" t="inlineStr">
        <is>
          <t>Cash</t>
        </is>
      </c>
      <c r="I26" s="7" t="inlineStr">
        <is>
          <t>GivingTuesday</t>
        </is>
      </c>
      <c r="J26" s="7" t="inlineStr">
        <is>
          <t>2025-02-03</t>
        </is>
      </c>
      <c r="K26" s="7" t="inlineStr">
        <is>
          <t>Yes</t>
        </is>
      </c>
    </row>
    <row r="27" ht="17" customHeight="1">
      <c r="A27" s="5" t="n">
        <v>25</v>
      </c>
      <c r="B27" s="5" t="n">
        <v>17</v>
      </c>
      <c r="C27" s="5" t="inlineStr">
        <is>
          <t>Emily</t>
        </is>
      </c>
      <c r="D27" s="5" t="inlineStr">
        <is>
          <t>Santos</t>
        </is>
      </c>
      <c r="E27" s="5" t="inlineStr">
        <is>
          <t>emily.santos17@example.com</t>
        </is>
      </c>
      <c r="F27" s="28" t="n">
        <v>30.89</v>
      </c>
      <c r="G27" s="5" t="inlineStr">
        <is>
          <t>Emergency Relief</t>
        </is>
      </c>
      <c r="H27" s="5" t="inlineStr">
        <is>
          <t>Online</t>
        </is>
      </c>
      <c r="I27" s="5" t="inlineStr">
        <is>
          <t>Spring Drive</t>
        </is>
      </c>
      <c r="J27" s="5" t="inlineStr">
        <is>
          <t>2025-01-12</t>
        </is>
      </c>
      <c r="K27" s="5" t="inlineStr">
        <is>
          <t>Yes</t>
        </is>
      </c>
    </row>
    <row r="28" ht="17" customHeight="1">
      <c r="A28" s="7" t="n">
        <v>26</v>
      </c>
      <c r="B28" s="7" t="n">
        <v>18</v>
      </c>
      <c r="C28" s="7" t="inlineStr">
        <is>
          <t>William</t>
        </is>
      </c>
      <c r="D28" s="7" t="inlineStr">
        <is>
          <t>Martinez</t>
        </is>
      </c>
      <c r="E28" s="7" t="inlineStr">
        <is>
          <t>william.martinez18@example.com</t>
        </is>
      </c>
      <c r="F28" s="29" t="n">
        <v>29.93</v>
      </c>
      <c r="G28" s="7" t="inlineStr">
        <is>
          <t>Food Bank</t>
        </is>
      </c>
      <c r="H28" s="7" t="inlineStr">
        <is>
          <t>Credit card</t>
        </is>
      </c>
      <c r="I28" s="7" t="inlineStr">
        <is>
          <t>GivingTuesday</t>
        </is>
      </c>
      <c r="J28" s="7" t="inlineStr">
        <is>
          <t>2025-11-04</t>
        </is>
      </c>
      <c r="K28" s="7" t="inlineStr">
        <is>
          <t>Yes</t>
        </is>
      </c>
    </row>
    <row r="29" ht="17" customHeight="1">
      <c r="A29" s="5" t="n">
        <v>27</v>
      </c>
      <c r="B29" s="5" t="n">
        <v>18</v>
      </c>
      <c r="C29" s="5" t="inlineStr">
        <is>
          <t>William</t>
        </is>
      </c>
      <c r="D29" s="5" t="inlineStr">
        <is>
          <t>Martinez</t>
        </is>
      </c>
      <c r="E29" s="5" t="inlineStr">
        <is>
          <t>william.martinez18@example.com</t>
        </is>
      </c>
      <c r="F29" s="28" t="n">
        <v>471.17</v>
      </c>
      <c r="G29" s="5" t="inlineStr">
        <is>
          <t>Endowment</t>
        </is>
      </c>
      <c r="H29" s="5" t="inlineStr">
        <is>
          <t>Cash</t>
        </is>
      </c>
      <c r="I29" s="5" t="inlineStr">
        <is>
          <t>Spring Drive</t>
        </is>
      </c>
      <c r="J29" s="5" t="inlineStr">
        <is>
          <t>2025-02-27</t>
        </is>
      </c>
      <c r="K29" s="5" t="inlineStr">
        <is>
          <t>Yes</t>
        </is>
      </c>
    </row>
    <row r="30" ht="17" customHeight="1">
      <c r="A30" s="7" t="n">
        <v>28</v>
      </c>
      <c r="B30" s="7" t="n">
        <v>18</v>
      </c>
      <c r="C30" s="7" t="inlineStr">
        <is>
          <t>William</t>
        </is>
      </c>
      <c r="D30" s="7" t="inlineStr">
        <is>
          <t>Martinez</t>
        </is>
      </c>
      <c r="E30" s="7" t="inlineStr">
        <is>
          <t>william.martinez18@example.com</t>
        </is>
      </c>
      <c r="F30" s="29" t="n">
        <v>44.48</v>
      </c>
      <c r="G30" s="7" t="inlineStr">
        <is>
          <t>Endowment</t>
        </is>
      </c>
      <c r="H30" s="7" t="inlineStr">
        <is>
          <t>Check</t>
        </is>
      </c>
      <c r="I30" s="7" t="inlineStr">
        <is>
          <t>GivingTuesday</t>
        </is>
      </c>
      <c r="J30" s="7" t="inlineStr">
        <is>
          <t>2025-01-04</t>
        </is>
      </c>
      <c r="K30" s="7" t="inlineStr">
        <is>
          <t>Yes</t>
        </is>
      </c>
    </row>
    <row r="31" ht="17" customHeight="1">
      <c r="A31" s="5" t="n">
        <v>29</v>
      </c>
      <c r="B31" s="5" t="n">
        <v>21</v>
      </c>
      <c r="C31" s="5" t="inlineStr">
        <is>
          <t>William</t>
        </is>
      </c>
      <c r="D31" s="5" t="inlineStr">
        <is>
          <t>Walker</t>
        </is>
      </c>
      <c r="E31" s="5" t="inlineStr">
        <is>
          <t>william.walker21@example.com</t>
        </is>
      </c>
      <c r="F31" s="28" t="n">
        <v>252.1</v>
      </c>
      <c r="G31" s="5" t="inlineStr">
        <is>
          <t>Emergency Relief</t>
        </is>
      </c>
      <c r="H31" s="5" t="inlineStr">
        <is>
          <t>Cash</t>
        </is>
      </c>
      <c r="I31" s="5" t="inlineStr">
        <is>
          <t>GivingTuesday</t>
        </is>
      </c>
      <c r="J31" s="5" t="inlineStr">
        <is>
          <t>2026-02-09</t>
        </is>
      </c>
      <c r="K31" s="5" t="inlineStr">
        <is>
          <t>Yes</t>
        </is>
      </c>
    </row>
    <row r="32" ht="17" customHeight="1">
      <c r="A32" s="7" t="n">
        <v>30</v>
      </c>
      <c r="B32" s="7" t="n">
        <v>21</v>
      </c>
      <c r="C32" s="7" t="inlineStr">
        <is>
          <t>William</t>
        </is>
      </c>
      <c r="D32" s="7" t="inlineStr">
        <is>
          <t>Walker</t>
        </is>
      </c>
      <c r="E32" s="7" t="inlineStr">
        <is>
          <t>william.walker21@example.com</t>
        </is>
      </c>
      <c r="F32" s="29" t="n">
        <v>24.22</v>
      </c>
      <c r="G32" s="7" t="inlineStr">
        <is>
          <t>Food Bank</t>
        </is>
      </c>
      <c r="H32" s="7" t="inlineStr">
        <is>
          <t>Credit card</t>
        </is>
      </c>
      <c r="I32" s="7" t="inlineStr">
        <is>
          <t>Year-End Appeal</t>
        </is>
      </c>
      <c r="J32" s="7" t="inlineStr">
        <is>
          <t>2024-12-21</t>
        </is>
      </c>
      <c r="K32" s="7" t="inlineStr">
        <is>
          <t>Yes</t>
        </is>
      </c>
    </row>
    <row r="33" ht="17" customHeight="1">
      <c r="A33" s="5" t="n">
        <v>31</v>
      </c>
      <c r="B33" s="5" t="n">
        <v>21</v>
      </c>
      <c r="C33" s="5" t="inlineStr">
        <is>
          <t>William</t>
        </is>
      </c>
      <c r="D33" s="5" t="inlineStr">
        <is>
          <t>Walker</t>
        </is>
      </c>
      <c r="E33" s="5" t="inlineStr">
        <is>
          <t>william.walker21@example.com</t>
        </is>
      </c>
      <c r="F33" s="28" t="n">
        <v>1884.48</v>
      </c>
      <c r="G33" s="5" t="inlineStr">
        <is>
          <t>General Fund</t>
        </is>
      </c>
      <c r="H33" s="5" t="inlineStr">
        <is>
          <t>Online</t>
        </is>
      </c>
      <c r="I33" s="5" t="inlineStr">
        <is>
          <t>Spring Drive</t>
        </is>
      </c>
      <c r="J33" s="5" t="inlineStr">
        <is>
          <t>2025-10-12</t>
        </is>
      </c>
      <c r="K33" s="5" t="inlineStr">
        <is>
          <t>Yes</t>
        </is>
      </c>
    </row>
    <row r="34" ht="17" customHeight="1">
      <c r="A34" s="7" t="n">
        <v>32</v>
      </c>
      <c r="B34" s="7" t="n">
        <v>21</v>
      </c>
      <c r="C34" s="7" t="inlineStr">
        <is>
          <t>William</t>
        </is>
      </c>
      <c r="D34" s="7" t="inlineStr">
        <is>
          <t>Walker</t>
        </is>
      </c>
      <c r="E34" s="7" t="inlineStr">
        <is>
          <t>william.walker21@example.com</t>
        </is>
      </c>
      <c r="F34" s="29" t="n">
        <v>161.21</v>
      </c>
      <c r="G34" s="7" t="inlineStr">
        <is>
          <t>Food Bank</t>
        </is>
      </c>
      <c r="H34" s="7" t="inlineStr">
        <is>
          <t>Check</t>
        </is>
      </c>
      <c r="I34" s="7" t="inlineStr"/>
      <c r="J34" s="7" t="inlineStr">
        <is>
          <t>2025-11-12</t>
        </is>
      </c>
      <c r="K34" s="7" t="inlineStr">
        <is>
          <t>Yes</t>
        </is>
      </c>
    </row>
    <row r="35" ht="17" customHeight="1">
      <c r="A35" s="5" t="n">
        <v>33</v>
      </c>
      <c r="B35" s="5" t="n">
        <v>27</v>
      </c>
      <c r="C35" s="5" t="inlineStr">
        <is>
          <t>Thomas</t>
        </is>
      </c>
      <c r="D35" s="5" t="inlineStr">
        <is>
          <t>Garcia</t>
        </is>
      </c>
      <c r="E35" s="5" t="inlineStr">
        <is>
          <t>thomas.garcia27@example.com</t>
        </is>
      </c>
      <c r="F35" s="28" t="n">
        <v>671.26</v>
      </c>
      <c r="G35" s="5" t="inlineStr">
        <is>
          <t>General Fund</t>
        </is>
      </c>
      <c r="H35" s="5" t="inlineStr">
        <is>
          <t>Cash</t>
        </is>
      </c>
      <c r="I35" s="5" t="inlineStr">
        <is>
          <t>Year-End Appeal</t>
        </is>
      </c>
      <c r="J35" s="5" t="inlineStr">
        <is>
          <t>2025-11-09</t>
        </is>
      </c>
      <c r="K35" s="5" t="inlineStr">
        <is>
          <t>Yes</t>
        </is>
      </c>
    </row>
    <row r="36" ht="17" customHeight="1">
      <c r="A36" s="7" t="n">
        <v>34</v>
      </c>
      <c r="B36" s="7" t="n">
        <v>28</v>
      </c>
      <c r="C36" s="7" t="inlineStr">
        <is>
          <t>Steven</t>
        </is>
      </c>
      <c r="D36" s="7" t="inlineStr">
        <is>
          <t>Harris</t>
        </is>
      </c>
      <c r="E36" s="7" t="inlineStr">
        <is>
          <t>steven.harris28@example.com</t>
        </is>
      </c>
      <c r="F36" s="29" t="n">
        <v>140.06</v>
      </c>
      <c r="G36" s="7" t="inlineStr">
        <is>
          <t>Food Bank</t>
        </is>
      </c>
      <c r="H36" s="7" t="inlineStr">
        <is>
          <t>Online</t>
        </is>
      </c>
      <c r="I36" s="7" t="inlineStr"/>
      <c r="J36" s="7" t="inlineStr">
        <is>
          <t>2026-03-26</t>
        </is>
      </c>
      <c r="K36" s="7" t="inlineStr">
        <is>
          <t>Yes</t>
        </is>
      </c>
    </row>
    <row r="37" ht="17" customHeight="1">
      <c r="A37" s="5" t="n">
        <v>35</v>
      </c>
      <c r="B37" s="5" t="n">
        <v>28</v>
      </c>
      <c r="C37" s="5" t="inlineStr">
        <is>
          <t>Steven</t>
        </is>
      </c>
      <c r="D37" s="5" t="inlineStr">
        <is>
          <t>Harris</t>
        </is>
      </c>
      <c r="E37" s="5" t="inlineStr">
        <is>
          <t>steven.harris28@example.com</t>
        </is>
      </c>
      <c r="F37" s="28" t="n">
        <v>36.6</v>
      </c>
      <c r="G37" s="5" t="inlineStr">
        <is>
          <t>Emergency Relief</t>
        </is>
      </c>
      <c r="H37" s="5" t="inlineStr">
        <is>
          <t>Check</t>
        </is>
      </c>
      <c r="I37" s="5" t="inlineStr">
        <is>
          <t>Spring Drive</t>
        </is>
      </c>
      <c r="J37" s="5" t="inlineStr">
        <is>
          <t>2025-04-14</t>
        </is>
      </c>
      <c r="K37" s="5" t="inlineStr">
        <is>
          <t>Yes</t>
        </is>
      </c>
    </row>
    <row r="38" ht="17" customHeight="1">
      <c r="A38" s="7" t="n">
        <v>36</v>
      </c>
      <c r="B38" s="7" t="n">
        <v>28</v>
      </c>
      <c r="C38" s="7" t="inlineStr">
        <is>
          <t>Steven</t>
        </is>
      </c>
      <c r="D38" s="7" t="inlineStr">
        <is>
          <t>Harris</t>
        </is>
      </c>
      <c r="E38" s="7" t="inlineStr">
        <is>
          <t>steven.harris28@example.com</t>
        </is>
      </c>
      <c r="F38" s="29" t="n">
        <v>525.67</v>
      </c>
      <c r="G38" s="7" t="inlineStr">
        <is>
          <t>Food Bank</t>
        </is>
      </c>
      <c r="H38" s="7" t="inlineStr">
        <is>
          <t>Check</t>
        </is>
      </c>
      <c r="I38" s="7" t="inlineStr">
        <is>
          <t>GivingTuesday</t>
        </is>
      </c>
      <c r="J38" s="7" t="inlineStr">
        <is>
          <t>2025-07-03</t>
        </is>
      </c>
      <c r="K38" s="7" t="inlineStr">
        <is>
          <t>Yes</t>
        </is>
      </c>
    </row>
    <row r="39" ht="17" customHeight="1">
      <c r="A39" s="5" t="n">
        <v>37</v>
      </c>
      <c r="B39" s="5" t="n">
        <v>28</v>
      </c>
      <c r="C39" s="5" t="inlineStr">
        <is>
          <t>Steven</t>
        </is>
      </c>
      <c r="D39" s="5" t="inlineStr">
        <is>
          <t>Harris</t>
        </is>
      </c>
      <c r="E39" s="5" t="inlineStr">
        <is>
          <t>steven.harris28@example.com</t>
        </is>
      </c>
      <c r="F39" s="28" t="n">
        <v>710.1799999999999</v>
      </c>
      <c r="G39" s="5" t="inlineStr">
        <is>
          <t>Endowment</t>
        </is>
      </c>
      <c r="H39" s="5" t="inlineStr">
        <is>
          <t>Online</t>
        </is>
      </c>
      <c r="I39" s="5" t="inlineStr"/>
      <c r="J39" s="5" t="inlineStr">
        <is>
          <t>2025-03-17</t>
        </is>
      </c>
      <c r="K39" s="5" t="inlineStr">
        <is>
          <t>Yes</t>
        </is>
      </c>
    </row>
    <row r="40" ht="17" customHeight="1">
      <c r="A40" s="7" t="n">
        <v>38</v>
      </c>
      <c r="B40" s="7" t="n">
        <v>29</v>
      </c>
      <c r="C40" s="7" t="inlineStr">
        <is>
          <t>Sandra</t>
        </is>
      </c>
      <c r="D40" s="7" t="inlineStr">
        <is>
          <t>Lewis</t>
        </is>
      </c>
      <c r="E40" s="7" t="inlineStr">
        <is>
          <t>sandra.lewis29@example.com</t>
        </is>
      </c>
      <c r="F40" s="29" t="n">
        <v>45.5</v>
      </c>
      <c r="G40" s="7" t="inlineStr">
        <is>
          <t>Food Bank</t>
        </is>
      </c>
      <c r="H40" s="7" t="inlineStr">
        <is>
          <t>Credit card</t>
        </is>
      </c>
      <c r="I40" s="7" t="inlineStr">
        <is>
          <t>Year-End Appeal</t>
        </is>
      </c>
      <c r="J40" s="7" t="inlineStr">
        <is>
          <t>2026-04-01</t>
        </is>
      </c>
      <c r="K40" s="7" t="inlineStr">
        <is>
          <t>Yes</t>
        </is>
      </c>
    </row>
    <row r="41" ht="17" customHeight="1">
      <c r="A41" s="5" t="n">
        <v>39</v>
      </c>
      <c r="B41" s="5" t="n">
        <v>29</v>
      </c>
      <c r="C41" s="5" t="inlineStr">
        <is>
          <t>Sandra</t>
        </is>
      </c>
      <c r="D41" s="5" t="inlineStr">
        <is>
          <t>Lewis</t>
        </is>
      </c>
      <c r="E41" s="5" t="inlineStr">
        <is>
          <t>sandra.lewis29@example.com</t>
        </is>
      </c>
      <c r="F41" s="28" t="n">
        <v>90.23999999999999</v>
      </c>
      <c r="G41" s="5" t="inlineStr">
        <is>
          <t>Endowment</t>
        </is>
      </c>
      <c r="H41" s="5" t="inlineStr">
        <is>
          <t>Cash</t>
        </is>
      </c>
      <c r="I41" s="5" t="inlineStr">
        <is>
          <t>Spring Drive</t>
        </is>
      </c>
      <c r="J41" s="5" t="inlineStr">
        <is>
          <t>2025-12-26</t>
        </is>
      </c>
      <c r="K41" s="5" t="inlineStr">
        <is>
          <t>Yes</t>
        </is>
      </c>
    </row>
    <row r="42" ht="17" customHeight="1">
      <c r="A42" s="7" t="n">
        <v>40</v>
      </c>
      <c r="B42" s="7" t="n">
        <v>29</v>
      </c>
      <c r="C42" s="7" t="inlineStr">
        <is>
          <t>Sandra</t>
        </is>
      </c>
      <c r="D42" s="7" t="inlineStr">
        <is>
          <t>Lewis</t>
        </is>
      </c>
      <c r="E42" s="7" t="inlineStr">
        <is>
          <t>sandra.lewis29@example.com</t>
        </is>
      </c>
      <c r="F42" s="29" t="n">
        <v>1449.76</v>
      </c>
      <c r="G42" s="7" t="inlineStr">
        <is>
          <t>General Fund</t>
        </is>
      </c>
      <c r="H42" s="7" t="inlineStr">
        <is>
          <t>Online</t>
        </is>
      </c>
      <c r="I42" s="7" t="inlineStr"/>
      <c r="J42" s="7" t="inlineStr">
        <is>
          <t>2025-10-18</t>
        </is>
      </c>
      <c r="K42" s="7" t="inlineStr">
        <is>
          <t>Yes</t>
        </is>
      </c>
    </row>
    <row r="43" ht="17" customHeight="1">
      <c r="A43" s="5" t="n">
        <v>41</v>
      </c>
      <c r="B43" s="5" t="n">
        <v>30</v>
      </c>
      <c r="C43" s="5" t="inlineStr">
        <is>
          <t>Daniel</t>
        </is>
      </c>
      <c r="D43" s="5" t="inlineStr">
        <is>
          <t>Nguyen</t>
        </is>
      </c>
      <c r="E43" s="5" t="inlineStr">
        <is>
          <t>daniel.nguyen30@example.com</t>
        </is>
      </c>
      <c r="F43" s="28" t="n">
        <v>295.12</v>
      </c>
      <c r="G43" s="5" t="inlineStr">
        <is>
          <t>Youth Programs</t>
        </is>
      </c>
      <c r="H43" s="5" t="inlineStr">
        <is>
          <t>Credit card</t>
        </is>
      </c>
      <c r="I43" s="5" t="inlineStr">
        <is>
          <t>Year-End Appeal</t>
        </is>
      </c>
      <c r="J43" s="5" t="inlineStr">
        <is>
          <t>2026-01-02</t>
        </is>
      </c>
      <c r="K43" s="5" t="inlineStr">
        <is>
          <t>Yes</t>
        </is>
      </c>
    </row>
    <row r="44" ht="17" customHeight="1">
      <c r="A44" s="7" t="n">
        <v>42</v>
      </c>
      <c r="B44" s="7" t="n">
        <v>30</v>
      </c>
      <c r="C44" s="7" t="inlineStr">
        <is>
          <t>Daniel</t>
        </is>
      </c>
      <c r="D44" s="7" t="inlineStr">
        <is>
          <t>Nguyen</t>
        </is>
      </c>
      <c r="E44" s="7" t="inlineStr">
        <is>
          <t>daniel.nguyen30@example.com</t>
        </is>
      </c>
      <c r="F44" s="29" t="n">
        <v>166.53</v>
      </c>
      <c r="G44" s="7" t="inlineStr">
        <is>
          <t>Endowment</t>
        </is>
      </c>
      <c r="H44" s="7" t="inlineStr">
        <is>
          <t>Online</t>
        </is>
      </c>
      <c r="I44" s="7" t="inlineStr">
        <is>
          <t>Spring Drive</t>
        </is>
      </c>
      <c r="J44" s="7" t="inlineStr">
        <is>
          <t>2024-12-25</t>
        </is>
      </c>
      <c r="K44" s="7" t="inlineStr">
        <is>
          <t>Yes</t>
        </is>
      </c>
    </row>
    <row r="45" ht="17" customHeight="1">
      <c r="A45" s="5" t="n">
        <v>43</v>
      </c>
      <c r="B45" s="5" t="n">
        <v>31</v>
      </c>
      <c r="C45" s="5" t="inlineStr">
        <is>
          <t>Richard</t>
        </is>
      </c>
      <c r="D45" s="5" t="inlineStr">
        <is>
          <t>Garcia</t>
        </is>
      </c>
      <c r="E45" s="5" t="inlineStr">
        <is>
          <t>richard.garcia31@example.com</t>
        </is>
      </c>
      <c r="F45" s="28" t="n">
        <v>287.32</v>
      </c>
      <c r="G45" s="5" t="inlineStr">
        <is>
          <t>General Fund</t>
        </is>
      </c>
      <c r="H45" s="5" t="inlineStr">
        <is>
          <t>Credit card</t>
        </is>
      </c>
      <c r="I45" s="5" t="inlineStr">
        <is>
          <t>GivingTuesday</t>
        </is>
      </c>
      <c r="J45" s="5" t="inlineStr">
        <is>
          <t>2026-02-27</t>
        </is>
      </c>
      <c r="K45" s="5" t="inlineStr">
        <is>
          <t>Yes</t>
        </is>
      </c>
    </row>
    <row r="46" ht="17" customHeight="1">
      <c r="A46" s="7" t="n">
        <v>44</v>
      </c>
      <c r="B46" s="7" t="n">
        <v>31</v>
      </c>
      <c r="C46" s="7" t="inlineStr">
        <is>
          <t>Richard</t>
        </is>
      </c>
      <c r="D46" s="7" t="inlineStr">
        <is>
          <t>Garcia</t>
        </is>
      </c>
      <c r="E46" s="7" t="inlineStr">
        <is>
          <t>richard.garcia31@example.com</t>
        </is>
      </c>
      <c r="F46" s="29" t="n">
        <v>307.12</v>
      </c>
      <c r="G46" s="7" t="inlineStr">
        <is>
          <t>Emergency Relief</t>
        </is>
      </c>
      <c r="H46" s="7" t="inlineStr">
        <is>
          <t>Cash</t>
        </is>
      </c>
      <c r="I46" s="7" t="inlineStr">
        <is>
          <t>Year-End Appeal</t>
        </is>
      </c>
      <c r="J46" s="7" t="inlineStr">
        <is>
          <t>2025-01-25</t>
        </is>
      </c>
      <c r="K46" s="7" t="inlineStr">
        <is>
          <t>Yes</t>
        </is>
      </c>
    </row>
    <row r="47" ht="17" customHeight="1">
      <c r="A47" s="5" t="n">
        <v>45</v>
      </c>
      <c r="B47" s="5" t="n">
        <v>33</v>
      </c>
      <c r="C47" s="5" t="inlineStr">
        <is>
          <t>Dorothy</t>
        </is>
      </c>
      <c r="D47" s="5" t="inlineStr">
        <is>
          <t>Hill</t>
        </is>
      </c>
      <c r="E47" s="5" t="inlineStr">
        <is>
          <t>dorothy.hill33@example.com</t>
        </is>
      </c>
      <c r="F47" s="28" t="n">
        <v>335.36</v>
      </c>
      <c r="G47" s="5" t="inlineStr">
        <is>
          <t>Emergency Relief</t>
        </is>
      </c>
      <c r="H47" s="5" t="inlineStr">
        <is>
          <t>Online</t>
        </is>
      </c>
      <c r="I47" s="5" t="inlineStr">
        <is>
          <t>Year-End Appeal</t>
        </is>
      </c>
      <c r="J47" s="5" t="inlineStr">
        <is>
          <t>2024-09-19</t>
        </is>
      </c>
      <c r="K47" s="5" t="inlineStr">
        <is>
          <t>Yes</t>
        </is>
      </c>
    </row>
    <row r="48" ht="17" customHeight="1">
      <c r="A48" s="7" t="n">
        <v>46</v>
      </c>
      <c r="B48" s="7" t="n">
        <v>33</v>
      </c>
      <c r="C48" s="7" t="inlineStr">
        <is>
          <t>Dorothy</t>
        </is>
      </c>
      <c r="D48" s="7" t="inlineStr">
        <is>
          <t>Hill</t>
        </is>
      </c>
      <c r="E48" s="7" t="inlineStr">
        <is>
          <t>dorothy.hill33@example.com</t>
        </is>
      </c>
      <c r="F48" s="29" t="n">
        <v>1389.7</v>
      </c>
      <c r="G48" s="7" t="inlineStr">
        <is>
          <t>Endowment</t>
        </is>
      </c>
      <c r="H48" s="7" t="inlineStr">
        <is>
          <t>Credit card</t>
        </is>
      </c>
      <c r="I48" s="7" t="inlineStr">
        <is>
          <t>Spring Drive</t>
        </is>
      </c>
      <c r="J48" s="7" t="inlineStr">
        <is>
          <t>2024-10-28</t>
        </is>
      </c>
      <c r="K48" s="7" t="inlineStr">
        <is>
          <t>Yes</t>
        </is>
      </c>
    </row>
    <row r="49" ht="17" customHeight="1">
      <c r="A49" s="5" t="n">
        <v>47</v>
      </c>
      <c r="B49" s="5" t="n">
        <v>34</v>
      </c>
      <c r="C49" s="5" t="inlineStr">
        <is>
          <t>Maria</t>
        </is>
      </c>
      <c r="D49" s="5" t="inlineStr">
        <is>
          <t>Hall</t>
        </is>
      </c>
      <c r="E49" s="5" t="inlineStr">
        <is>
          <t>maria.hall34@example.com</t>
        </is>
      </c>
      <c r="F49" s="28" t="n">
        <v>291.09</v>
      </c>
      <c r="G49" s="5" t="inlineStr">
        <is>
          <t>Youth Programs</t>
        </is>
      </c>
      <c r="H49" s="5" t="inlineStr">
        <is>
          <t>Credit card</t>
        </is>
      </c>
      <c r="I49" s="5" t="inlineStr">
        <is>
          <t>Fall Campaign</t>
        </is>
      </c>
      <c r="J49" s="5" t="inlineStr">
        <is>
          <t>2025-03-22</t>
        </is>
      </c>
      <c r="K49" s="5" t="inlineStr">
        <is>
          <t>Yes</t>
        </is>
      </c>
    </row>
    <row r="50" ht="17" customHeight="1">
      <c r="A50" s="7" t="n">
        <v>48</v>
      </c>
      <c r="B50" s="7" t="n">
        <v>34</v>
      </c>
      <c r="C50" s="7" t="inlineStr">
        <is>
          <t>Maria</t>
        </is>
      </c>
      <c r="D50" s="7" t="inlineStr">
        <is>
          <t>Hall</t>
        </is>
      </c>
      <c r="E50" s="7" t="inlineStr">
        <is>
          <t>maria.hall34@example.com</t>
        </is>
      </c>
      <c r="F50" s="29" t="n">
        <v>82.31</v>
      </c>
      <c r="G50" s="7" t="inlineStr">
        <is>
          <t>Food Bank</t>
        </is>
      </c>
      <c r="H50" s="7" t="inlineStr">
        <is>
          <t>Credit card</t>
        </is>
      </c>
      <c r="I50" s="7" t="inlineStr">
        <is>
          <t>Spring Drive</t>
        </is>
      </c>
      <c r="J50" s="7" t="inlineStr">
        <is>
          <t>2024-09-13</t>
        </is>
      </c>
      <c r="K50" s="7" t="inlineStr">
        <is>
          <t>Yes</t>
        </is>
      </c>
    </row>
    <row r="51" ht="17" customHeight="1">
      <c r="A51" s="5" t="n">
        <v>49</v>
      </c>
      <c r="B51" s="5" t="n">
        <v>35</v>
      </c>
      <c r="C51" s="5" t="inlineStr">
        <is>
          <t>Emily</t>
        </is>
      </c>
      <c r="D51" s="5" t="inlineStr">
        <is>
          <t>Scott</t>
        </is>
      </c>
      <c r="E51" s="5" t="inlineStr">
        <is>
          <t>emily.scott35@example.com</t>
        </is>
      </c>
      <c r="F51" s="28" t="n">
        <v>1145.98</v>
      </c>
      <c r="G51" s="5" t="inlineStr">
        <is>
          <t>Youth Programs</t>
        </is>
      </c>
      <c r="H51" s="5" t="inlineStr">
        <is>
          <t>Cash</t>
        </is>
      </c>
      <c r="I51" s="5" t="inlineStr"/>
      <c r="J51" s="5" t="inlineStr">
        <is>
          <t>2025-12-02</t>
        </is>
      </c>
      <c r="K51" s="5" t="inlineStr">
        <is>
          <t>Yes</t>
        </is>
      </c>
    </row>
    <row r="52" ht="17" customHeight="1">
      <c r="A52" s="7" t="n">
        <v>50</v>
      </c>
      <c r="B52" s="7" t="n">
        <v>36</v>
      </c>
      <c r="C52" s="7" t="inlineStr">
        <is>
          <t>Andrew</t>
        </is>
      </c>
      <c r="D52" s="7" t="inlineStr">
        <is>
          <t>Kim</t>
        </is>
      </c>
      <c r="E52" s="7" t="inlineStr">
        <is>
          <t>andrew.kim36@example.com</t>
        </is>
      </c>
      <c r="F52" s="29" t="n">
        <v>875.02</v>
      </c>
      <c r="G52" s="7" t="inlineStr">
        <is>
          <t>Food Bank</t>
        </is>
      </c>
      <c r="H52" s="7" t="inlineStr">
        <is>
          <t>Online</t>
        </is>
      </c>
      <c r="I52" s="7" t="inlineStr">
        <is>
          <t>GivingTuesday</t>
        </is>
      </c>
      <c r="J52" s="7" t="inlineStr">
        <is>
          <t>2025-12-01</t>
        </is>
      </c>
      <c r="K52" s="7" t="inlineStr">
        <is>
          <t>Yes</t>
        </is>
      </c>
    </row>
    <row r="53" ht="17" customHeight="1">
      <c r="A53" s="5" t="n">
        <v>51</v>
      </c>
      <c r="B53" s="5" t="n">
        <v>36</v>
      </c>
      <c r="C53" s="5" t="inlineStr">
        <is>
          <t>Andrew</t>
        </is>
      </c>
      <c r="D53" s="5" t="inlineStr">
        <is>
          <t>Kim</t>
        </is>
      </c>
      <c r="E53" s="5" t="inlineStr">
        <is>
          <t>andrew.kim36@example.com</t>
        </is>
      </c>
      <c r="F53" s="28" t="n">
        <v>28.86</v>
      </c>
      <c r="G53" s="5" t="inlineStr">
        <is>
          <t>Emergency Relief</t>
        </is>
      </c>
      <c r="H53" s="5" t="inlineStr">
        <is>
          <t>Online</t>
        </is>
      </c>
      <c r="I53" s="5" t="inlineStr">
        <is>
          <t>Year-End Appeal</t>
        </is>
      </c>
      <c r="J53" s="5" t="inlineStr">
        <is>
          <t>2024-12-15</t>
        </is>
      </c>
      <c r="K53" s="5" t="inlineStr">
        <is>
          <t>Yes</t>
        </is>
      </c>
    </row>
    <row r="54" ht="17" customHeight="1">
      <c r="A54" s="7" t="n">
        <v>52</v>
      </c>
      <c r="B54" s="7" t="n">
        <v>40</v>
      </c>
      <c r="C54" s="7" t="inlineStr">
        <is>
          <t>Lisa</t>
        </is>
      </c>
      <c r="D54" s="7" t="inlineStr">
        <is>
          <t>Harris</t>
        </is>
      </c>
      <c r="E54" s="7" t="inlineStr">
        <is>
          <t>lisa.harris40@example.com</t>
        </is>
      </c>
      <c r="F54" s="29" t="n">
        <v>553.3200000000001</v>
      </c>
      <c r="G54" s="7" t="inlineStr">
        <is>
          <t>Emergency Relief</t>
        </is>
      </c>
      <c r="H54" s="7" t="inlineStr">
        <is>
          <t>Credit card</t>
        </is>
      </c>
      <c r="I54" s="7" t="inlineStr">
        <is>
          <t>Spring Drive</t>
        </is>
      </c>
      <c r="J54" s="7" t="inlineStr">
        <is>
          <t>2025-12-20</t>
        </is>
      </c>
      <c r="K54" s="7" t="inlineStr">
        <is>
          <t>Yes</t>
        </is>
      </c>
    </row>
    <row r="55" ht="17" customHeight="1">
      <c r="A55" s="5" t="n">
        <v>53</v>
      </c>
      <c r="B55" s="5" t="n">
        <v>40</v>
      </c>
      <c r="C55" s="5" t="inlineStr">
        <is>
          <t>Lisa</t>
        </is>
      </c>
      <c r="D55" s="5" t="inlineStr">
        <is>
          <t>Harris</t>
        </is>
      </c>
      <c r="E55" s="5" t="inlineStr">
        <is>
          <t>lisa.harris40@example.com</t>
        </is>
      </c>
      <c r="F55" s="28" t="n">
        <v>48.73</v>
      </c>
      <c r="G55" s="5" t="inlineStr">
        <is>
          <t>Youth Programs</t>
        </is>
      </c>
      <c r="H55" s="5" t="inlineStr">
        <is>
          <t>Cash</t>
        </is>
      </c>
      <c r="I55" s="5" t="inlineStr">
        <is>
          <t>Year-End Appeal</t>
        </is>
      </c>
      <c r="J55" s="5" t="inlineStr">
        <is>
          <t>2025-06-05</t>
        </is>
      </c>
      <c r="K55" s="5" t="inlineStr">
        <is>
          <t>Yes</t>
        </is>
      </c>
    </row>
    <row r="56" ht="17" customHeight="1">
      <c r="A56" s="7" t="n">
        <v>54</v>
      </c>
      <c r="B56" s="7" t="n">
        <v>40</v>
      </c>
      <c r="C56" s="7" t="inlineStr">
        <is>
          <t>Lisa</t>
        </is>
      </c>
      <c r="D56" s="7" t="inlineStr">
        <is>
          <t>Harris</t>
        </is>
      </c>
      <c r="E56" s="7" t="inlineStr">
        <is>
          <t>lisa.harris40@example.com</t>
        </is>
      </c>
      <c r="F56" s="29" t="n">
        <v>441.68</v>
      </c>
      <c r="G56" s="7" t="inlineStr">
        <is>
          <t>Youth Programs</t>
        </is>
      </c>
      <c r="H56" s="7" t="inlineStr">
        <is>
          <t>Cash</t>
        </is>
      </c>
      <c r="I56" s="7" t="inlineStr"/>
      <c r="J56" s="7" t="inlineStr">
        <is>
          <t>2025-11-14</t>
        </is>
      </c>
      <c r="K56" s="7" t="inlineStr">
        <is>
          <t>Yes</t>
        </is>
      </c>
    </row>
    <row r="57" ht="17" customHeight="1">
      <c r="A57" s="5" t="n">
        <v>55</v>
      </c>
      <c r="B57" s="5" t="n">
        <v>40</v>
      </c>
      <c r="C57" s="5" t="inlineStr">
        <is>
          <t>Lisa</t>
        </is>
      </c>
      <c r="D57" s="5" t="inlineStr">
        <is>
          <t>Harris</t>
        </is>
      </c>
      <c r="E57" s="5" t="inlineStr">
        <is>
          <t>lisa.harris40@example.com</t>
        </is>
      </c>
      <c r="F57" s="28" t="n">
        <v>308.99</v>
      </c>
      <c r="G57" s="5" t="inlineStr">
        <is>
          <t>Food Bank</t>
        </is>
      </c>
      <c r="H57" s="5" t="inlineStr">
        <is>
          <t>Credit card</t>
        </is>
      </c>
      <c r="I57" s="5" t="inlineStr">
        <is>
          <t>Fall Campaign</t>
        </is>
      </c>
      <c r="J57" s="5" t="inlineStr">
        <is>
          <t>2025-06-07</t>
        </is>
      </c>
      <c r="K57" s="5" t="inlineStr">
        <is>
          <t>Yes</t>
        </is>
      </c>
    </row>
    <row r="58" ht="17" customHeight="1">
      <c r="A58" s="7" t="n">
        <v>56</v>
      </c>
      <c r="B58" s="7" t="n">
        <v>40</v>
      </c>
      <c r="C58" s="7" t="inlineStr">
        <is>
          <t>Lisa</t>
        </is>
      </c>
      <c r="D58" s="7" t="inlineStr">
        <is>
          <t>Harris</t>
        </is>
      </c>
      <c r="E58" s="7" t="inlineStr">
        <is>
          <t>lisa.harris40@example.com</t>
        </is>
      </c>
      <c r="F58" s="29" t="n">
        <v>30.73</v>
      </c>
      <c r="G58" s="7" t="inlineStr">
        <is>
          <t>General Fund</t>
        </is>
      </c>
      <c r="H58" s="7" t="inlineStr">
        <is>
          <t>Check</t>
        </is>
      </c>
      <c r="I58" s="7" t="inlineStr">
        <is>
          <t>Year-End Appeal</t>
        </is>
      </c>
      <c r="J58" s="7" t="inlineStr">
        <is>
          <t>2025-07-12</t>
        </is>
      </c>
      <c r="K58" s="7" t="inlineStr">
        <is>
          <t>Yes</t>
        </is>
      </c>
    </row>
    <row r="59" ht="22" customHeight="1">
      <c r="A59" s="30" t="inlineStr">
        <is>
          <t>TOTAL RAISED</t>
        </is>
      </c>
      <c r="F59" s="31">
        <f>SUM(F3:F58)</f>
        <v/>
      </c>
      <c r="G59" s="32" t="n"/>
      <c r="H59" s="32" t="n"/>
      <c r="I59" s="32" t="n"/>
      <c r="J59" s="32" t="n"/>
      <c r="K59" s="32" t="n"/>
    </row>
  </sheetData>
  <mergeCells count="2">
    <mergeCell ref="A1:K1"/>
    <mergeCell ref="A59:E59"/>
  </mergeCells>
  <dataValidations count="3">
    <dataValidation sqref="G3:G2000" showDropDown="0" showInputMessage="0" showErrorMessage="0" allowBlank="1" type="list">
      <formula1>"General Fund,Youth Programs,Food Bank,Emergency Relief,Endowment"</formula1>
    </dataValidation>
    <dataValidation sqref="H3:H2000" showDropDown="0" showInputMessage="0" showErrorMessage="0" allowBlank="1" type="list">
      <formula1>"Online,Credit card,Check,Cash,Bank transfer"</formula1>
    </dataValidation>
    <dataValidation sqref="K3:K20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5" customWidth="1" min="3" max="3"/>
    <col width="15" customWidth="1" min="4" max="4"/>
    <col width="28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22" customWidth="1" min="12" max="12"/>
  </cols>
  <sheetData>
    <row r="1" ht="32" customHeight="1">
      <c r="A1" s="33" t="inlineStr">
        <is>
          <t>Lapsed Donor Outreach — Auto-updates when donors haven't given in 90+ days</t>
        </is>
      </c>
    </row>
    <row r="2" ht="18" customHeight="1">
      <c r="A2" s="34" t="inlineStr">
        <is>
          <t xml:space="preserve">  SETTINGS: Change the thresholds in row 4 (yellow cells) to adjust who appears on this list.</t>
        </is>
      </c>
    </row>
    <row r="3" ht="10" customHeight="1"/>
    <row r="4" ht="24" customHeight="1">
      <c r="B4" s="35" t="inlineStr">
        <is>
          <t>Days since last gift ≥</t>
        </is>
      </c>
      <c r="C4" s="36" t="n"/>
      <c r="D4" s="36" t="n"/>
      <c r="E4" s="37" t="n">
        <v>90</v>
      </c>
      <c r="F4" s="38" t="inlineStr">
        <is>
          <t>Donors who haven't given in this many days</t>
        </is>
      </c>
      <c r="G4" s="35" t="inlineStr">
        <is>
          <t>Min. lifetime giving ≥</t>
        </is>
      </c>
      <c r="H4" s="36" t="n"/>
      <c r="I4" s="36" t="n"/>
      <c r="J4" s="37" t="n">
        <v>0</v>
      </c>
      <c r="K4" s="38" t="inlineStr">
        <is>
          <t>Set to e.g. 50 to exclude small donors</t>
        </is>
      </c>
    </row>
    <row r="5" ht="10" customHeight="1"/>
    <row r="6" ht="24" customHeight="1">
      <c r="A6" s="3" t="inlineStr">
        <is>
          <t>#</t>
        </is>
      </c>
      <c r="B6" s="3" t="inlineStr">
        <is>
          <t>Contact ID</t>
        </is>
      </c>
      <c r="C6" s="3" t="inlineStr">
        <is>
          <t>First name</t>
        </is>
      </c>
      <c r="D6" s="3" t="inlineStr">
        <is>
          <t>Last name</t>
        </is>
      </c>
      <c r="E6" s="3" t="inlineStr">
        <is>
          <t>Email</t>
        </is>
      </c>
      <c r="F6" s="3" t="inlineStr">
        <is>
          <t>Phone</t>
        </is>
      </c>
      <c r="G6" s="3" t="inlineStr">
        <is>
          <t>Last gift date</t>
        </is>
      </c>
      <c r="H6" s="3" t="inlineStr">
        <is>
          <t>Days since gift</t>
        </is>
      </c>
      <c r="I6" s="3" t="inlineStr">
        <is>
          <t>Total given</t>
        </is>
      </c>
      <c r="J6" s="3" t="inlineStr">
        <is>
          <t>Tier</t>
        </is>
      </c>
      <c r="K6" s="3" t="inlineStr">
        <is>
          <t>Suggested action</t>
        </is>
      </c>
      <c r="L6" s="3" t="inlineStr">
        <is>
          <t>Outreach notes</t>
        </is>
      </c>
    </row>
    <row r="7" ht="17" customHeight="1">
      <c r="A7" s="5" t="n">
        <v>1</v>
      </c>
      <c r="B7" s="5" t="n">
        <v>30</v>
      </c>
      <c r="C7" s="5" t="inlineStr">
        <is>
          <t>Daniel</t>
        </is>
      </c>
      <c r="D7" s="5" t="inlineStr">
        <is>
          <t>Nguyen</t>
        </is>
      </c>
      <c r="E7" s="5" t="inlineStr">
        <is>
          <t>daniel.nguyen30@example.com</t>
        </is>
      </c>
      <c r="F7" s="5" t="inlineStr">
        <is>
          <t>555-1029</t>
        </is>
      </c>
      <c r="G7" s="5" t="inlineStr">
        <is>
          <t>2026-01-02</t>
        </is>
      </c>
      <c r="H7" s="39" t="n">
        <v>96</v>
      </c>
      <c r="I7" s="28" t="n">
        <v>461.65</v>
      </c>
      <c r="J7" s="5" t="inlineStr">
        <is>
          <t>Sustainer</t>
        </is>
      </c>
      <c r="K7" s="40" t="inlineStr">
        <is>
          <t>Send personal thank-you + update</t>
        </is>
      </c>
      <c r="L7" s="5" t="inlineStr"/>
    </row>
    <row r="8" ht="17" customHeight="1">
      <c r="A8" s="7" t="n">
        <v>2</v>
      </c>
      <c r="B8" s="7" t="n">
        <v>40</v>
      </c>
      <c r="C8" s="7" t="inlineStr">
        <is>
          <t>Lisa</t>
        </is>
      </c>
      <c r="D8" s="7" t="inlineStr">
        <is>
          <t>Harris</t>
        </is>
      </c>
      <c r="E8" s="7" t="inlineStr">
        <is>
          <t>lisa.harris40@example.com</t>
        </is>
      </c>
      <c r="F8" s="7" t="inlineStr">
        <is>
          <t>555-1039</t>
        </is>
      </c>
      <c r="G8" s="7" t="inlineStr">
        <is>
          <t>2025-12-20</t>
        </is>
      </c>
      <c r="H8" s="41" t="n">
        <v>109</v>
      </c>
      <c r="I8" s="29" t="n">
        <v>1383.45</v>
      </c>
      <c r="J8" s="7" t="inlineStr">
        <is>
          <t>Champion</t>
        </is>
      </c>
      <c r="K8" s="40" t="inlineStr">
        <is>
          <t>Send personal thank-you + update</t>
        </is>
      </c>
      <c r="L8" s="7" t="inlineStr"/>
    </row>
    <row r="9" ht="17" customHeight="1">
      <c r="A9" s="5" t="n">
        <v>3</v>
      </c>
      <c r="B9" s="5" t="n">
        <v>17</v>
      </c>
      <c r="C9" s="5" t="inlineStr">
        <is>
          <t>Emily</t>
        </is>
      </c>
      <c r="D9" s="5" t="inlineStr">
        <is>
          <t>Santos</t>
        </is>
      </c>
      <c r="E9" s="5" t="inlineStr">
        <is>
          <t>emily.santos17@example.com</t>
        </is>
      </c>
      <c r="F9" s="5" t="inlineStr">
        <is>
          <t>555-1016</t>
        </is>
      </c>
      <c r="G9" s="5" t="inlineStr">
        <is>
          <t>2025-12-15</t>
        </is>
      </c>
      <c r="H9" s="39" t="n">
        <v>114</v>
      </c>
      <c r="I9" s="28" t="n">
        <v>455.18</v>
      </c>
      <c r="J9" s="5" t="inlineStr">
        <is>
          <t>Sustainer</t>
        </is>
      </c>
      <c r="K9" s="40" t="inlineStr">
        <is>
          <t>Send personal thank-you + update</t>
        </is>
      </c>
      <c r="L9" s="5" t="inlineStr"/>
    </row>
    <row r="10" ht="17" customHeight="1">
      <c r="A10" s="7" t="n">
        <v>4</v>
      </c>
      <c r="B10" s="7" t="n">
        <v>35</v>
      </c>
      <c r="C10" s="7" t="inlineStr">
        <is>
          <t>Emily</t>
        </is>
      </c>
      <c r="D10" s="7" t="inlineStr">
        <is>
          <t>Scott</t>
        </is>
      </c>
      <c r="E10" s="7" t="inlineStr">
        <is>
          <t>emily.scott35@example.com</t>
        </is>
      </c>
      <c r="F10" s="7" t="inlineStr">
        <is>
          <t>555-1034</t>
        </is>
      </c>
      <c r="G10" s="7" t="inlineStr">
        <is>
          <t>2025-12-02</t>
        </is>
      </c>
      <c r="H10" s="41" t="n">
        <v>127</v>
      </c>
      <c r="I10" s="29" t="n">
        <v>1145.98</v>
      </c>
      <c r="J10" s="7" t="inlineStr">
        <is>
          <t>Champion</t>
        </is>
      </c>
      <c r="K10" s="40" t="inlineStr">
        <is>
          <t>Send personal thank-you + update</t>
        </is>
      </c>
      <c r="L10" s="7" t="inlineStr"/>
    </row>
    <row r="11" ht="17" customHeight="1">
      <c r="A11" s="5" t="n">
        <v>5</v>
      </c>
      <c r="B11" s="5" t="n">
        <v>36</v>
      </c>
      <c r="C11" s="5" t="inlineStr">
        <is>
          <t>Andrew</t>
        </is>
      </c>
      <c r="D11" s="5" t="inlineStr">
        <is>
          <t>Kim</t>
        </is>
      </c>
      <c r="E11" s="5" t="inlineStr">
        <is>
          <t>andrew.kim36@example.com</t>
        </is>
      </c>
      <c r="F11" s="5" t="inlineStr">
        <is>
          <t>555-1035</t>
        </is>
      </c>
      <c r="G11" s="5" t="inlineStr">
        <is>
          <t>2025-12-01</t>
        </is>
      </c>
      <c r="H11" s="39" t="n">
        <v>128</v>
      </c>
      <c r="I11" s="28" t="n">
        <v>903.88</v>
      </c>
      <c r="J11" s="5" t="inlineStr">
        <is>
          <t>Champion</t>
        </is>
      </c>
      <c r="K11" s="40" t="inlineStr">
        <is>
          <t>Send personal thank-you + update</t>
        </is>
      </c>
      <c r="L11" s="5" t="inlineStr"/>
    </row>
    <row r="12" ht="17" customHeight="1">
      <c r="A12" s="7" t="n">
        <v>6</v>
      </c>
      <c r="B12" s="7" t="n">
        <v>1</v>
      </c>
      <c r="C12" s="7" t="inlineStr">
        <is>
          <t>William</t>
        </is>
      </c>
      <c r="D12" s="7" t="inlineStr">
        <is>
          <t>Thornton</t>
        </is>
      </c>
      <c r="E12" s="7" t="inlineStr">
        <is>
          <t>william.thornton1@example.com</t>
        </is>
      </c>
      <c r="F12" s="7" t="inlineStr">
        <is>
          <t>555-1000</t>
        </is>
      </c>
      <c r="G12" s="7" t="inlineStr">
        <is>
          <t>2025-11-21</t>
        </is>
      </c>
      <c r="H12" s="41" t="n">
        <v>138</v>
      </c>
      <c r="I12" s="29" t="n">
        <v>291.61</v>
      </c>
      <c r="J12" s="7" t="inlineStr">
        <is>
          <t>Sustainer</t>
        </is>
      </c>
      <c r="K12" s="40" t="inlineStr">
        <is>
          <t>Send personal thank-you + update</t>
        </is>
      </c>
      <c r="L12" s="7" t="inlineStr"/>
    </row>
    <row r="13" ht="17" customHeight="1">
      <c r="A13" s="5" t="n">
        <v>7</v>
      </c>
      <c r="B13" s="5" t="n">
        <v>11</v>
      </c>
      <c r="C13" s="5" t="inlineStr">
        <is>
          <t>Charles</t>
        </is>
      </c>
      <c r="D13" s="5" t="inlineStr">
        <is>
          <t>Nelson</t>
        </is>
      </c>
      <c r="E13" s="5" t="inlineStr">
        <is>
          <t>charles.nelson11@example.com</t>
        </is>
      </c>
      <c r="F13" s="5" t="inlineStr">
        <is>
          <t>555-1010</t>
        </is>
      </c>
      <c r="G13" s="5" t="inlineStr">
        <is>
          <t>2025-11-09</t>
        </is>
      </c>
      <c r="H13" s="39" t="n">
        <v>150</v>
      </c>
      <c r="I13" s="28" t="n">
        <v>2490.47</v>
      </c>
      <c r="J13" s="5" t="inlineStr">
        <is>
          <t>Major</t>
        </is>
      </c>
      <c r="K13" s="40" t="inlineStr">
        <is>
          <t>Send personal thank-you + update</t>
        </is>
      </c>
      <c r="L13" s="5" t="inlineStr"/>
    </row>
    <row r="14" ht="17" customHeight="1">
      <c r="A14" s="7" t="n">
        <v>8</v>
      </c>
      <c r="B14" s="7" t="n">
        <v>14</v>
      </c>
      <c r="C14" s="7" t="inlineStr">
        <is>
          <t>Emily</t>
        </is>
      </c>
      <c r="D14" s="7" t="inlineStr">
        <is>
          <t>Baker</t>
        </is>
      </c>
      <c r="E14" s="7" t="inlineStr">
        <is>
          <t>emily.baker14@example.com</t>
        </is>
      </c>
      <c r="F14" s="7" t="inlineStr">
        <is>
          <t>555-1013</t>
        </is>
      </c>
      <c r="G14" s="7" t="inlineStr">
        <is>
          <t>2025-11-09</t>
        </is>
      </c>
      <c r="H14" s="41" t="n">
        <v>150</v>
      </c>
      <c r="I14" s="29" t="n">
        <v>108.88</v>
      </c>
      <c r="J14" s="7" t="inlineStr">
        <is>
          <t>Sustainer</t>
        </is>
      </c>
      <c r="K14" s="40" t="inlineStr">
        <is>
          <t>Send personal thank-you + update</t>
        </is>
      </c>
      <c r="L14" s="7" t="inlineStr"/>
    </row>
    <row r="15" ht="17" customHeight="1">
      <c r="A15" s="5" t="n">
        <v>9</v>
      </c>
      <c r="B15" s="5" t="n">
        <v>27</v>
      </c>
      <c r="C15" s="5" t="inlineStr">
        <is>
          <t>Thomas</t>
        </is>
      </c>
      <c r="D15" s="5" t="inlineStr">
        <is>
          <t>Garcia</t>
        </is>
      </c>
      <c r="E15" s="5" t="inlineStr">
        <is>
          <t>thomas.garcia27@example.com</t>
        </is>
      </c>
      <c r="F15" s="5" t="inlineStr">
        <is>
          <t>555-1026</t>
        </is>
      </c>
      <c r="G15" s="5" t="inlineStr">
        <is>
          <t>2025-11-09</t>
        </is>
      </c>
      <c r="H15" s="39" t="n">
        <v>150</v>
      </c>
      <c r="I15" s="28" t="n">
        <v>671.26</v>
      </c>
      <c r="J15" s="5" t="inlineStr">
        <is>
          <t>Champion</t>
        </is>
      </c>
      <c r="K15" s="40" t="inlineStr">
        <is>
          <t>Send personal thank-you + update</t>
        </is>
      </c>
      <c r="L15" s="5" t="inlineStr"/>
    </row>
    <row r="16" ht="17" customHeight="1">
      <c r="A16" s="7" t="n">
        <v>10</v>
      </c>
      <c r="B16" s="7" t="n">
        <v>18</v>
      </c>
      <c r="C16" s="7" t="inlineStr">
        <is>
          <t>William</t>
        </is>
      </c>
      <c r="D16" s="7" t="inlineStr">
        <is>
          <t>Martinez</t>
        </is>
      </c>
      <c r="E16" s="7" t="inlineStr">
        <is>
          <t>william.martinez18@example.com</t>
        </is>
      </c>
      <c r="F16" s="7" t="inlineStr">
        <is>
          <t>555-1017</t>
        </is>
      </c>
      <c r="G16" s="7" t="inlineStr">
        <is>
          <t>2025-11-04</t>
        </is>
      </c>
      <c r="H16" s="41" t="n">
        <v>155</v>
      </c>
      <c r="I16" s="29" t="n">
        <v>545.58</v>
      </c>
      <c r="J16" s="7" t="inlineStr">
        <is>
          <t>Champion</t>
        </is>
      </c>
      <c r="K16" s="40" t="inlineStr">
        <is>
          <t>Send personal thank-you + update</t>
        </is>
      </c>
      <c r="L16" s="7" t="inlineStr"/>
    </row>
    <row r="17" ht="17" customHeight="1">
      <c r="A17" s="5" t="n">
        <v>11</v>
      </c>
      <c r="B17" s="5" t="n">
        <v>34</v>
      </c>
      <c r="C17" s="5" t="inlineStr">
        <is>
          <t>Maria</t>
        </is>
      </c>
      <c r="D17" s="5" t="inlineStr">
        <is>
          <t>Hall</t>
        </is>
      </c>
      <c r="E17" s="5" t="inlineStr">
        <is>
          <t>maria.hall34@example.com</t>
        </is>
      </c>
      <c r="F17" s="5" t="inlineStr">
        <is>
          <t>555-1033</t>
        </is>
      </c>
      <c r="G17" s="5" t="inlineStr">
        <is>
          <t>2025-03-22</t>
        </is>
      </c>
      <c r="H17" s="42" t="n">
        <v>382</v>
      </c>
      <c r="I17" s="28" t="n">
        <v>373.4</v>
      </c>
      <c r="J17" s="5" t="inlineStr">
        <is>
          <t>Sustainer</t>
        </is>
      </c>
      <c r="K17" s="43" t="inlineStr">
        <is>
          <t>Reactivation email + special ask</t>
        </is>
      </c>
      <c r="L17" s="5" t="inlineStr"/>
    </row>
    <row r="18" ht="17" customHeight="1">
      <c r="A18" s="7" t="n">
        <v>12</v>
      </c>
      <c r="B18" s="7" t="n">
        <v>33</v>
      </c>
      <c r="C18" s="7" t="inlineStr">
        <is>
          <t>Dorothy</t>
        </is>
      </c>
      <c r="D18" s="7" t="inlineStr">
        <is>
          <t>Hill</t>
        </is>
      </c>
      <c r="E18" s="7" t="inlineStr">
        <is>
          <t>dorothy.hill33@example.com</t>
        </is>
      </c>
      <c r="F18" s="7" t="inlineStr">
        <is>
          <t>555-1032</t>
        </is>
      </c>
      <c r="G18" s="7" t="inlineStr">
        <is>
          <t>2024-10-28</t>
        </is>
      </c>
      <c r="H18" s="44" t="n">
        <v>527</v>
      </c>
      <c r="I18" s="29" t="n">
        <v>1725.06</v>
      </c>
      <c r="J18" s="7" t="inlineStr">
        <is>
          <t>Champion</t>
        </is>
      </c>
      <c r="K18" s="43" t="inlineStr">
        <is>
          <t>Reactivation email + special ask</t>
        </is>
      </c>
      <c r="L18" s="7" t="inlineStr"/>
    </row>
    <row r="20" ht="24" customHeight="1">
      <c r="A20" s="45" t="inlineStr">
        <is>
          <t>Total lapsed donors</t>
        </is>
      </c>
      <c r="C20" s="46" t="n">
        <v>12</v>
      </c>
      <c r="E20" s="45" t="inlineStr">
        <is>
          <t>Est. recoverable giving</t>
        </is>
      </c>
      <c r="G20" s="47">
        <f>SUM(I7:I18)</f>
        <v/>
      </c>
      <c r="I20" s="45" t="inlineStr">
        <is>
          <t>Avg days since last gift</t>
        </is>
      </c>
      <c r="K20" s="46">
        <f>IFERROR(AVERAGE(H7:H18),0)</f>
        <v/>
      </c>
    </row>
    <row r="22" ht="20" customHeight="1">
      <c r="A22" s="48" t="inlineStr">
        <is>
          <t>Outreach urgency legend:</t>
        </is>
      </c>
      <c r="C22" s="49" t="inlineStr">
        <is>
          <t>90–180 days</t>
        </is>
      </c>
      <c r="E22" s="50" t="inlineStr">
        <is>
          <t>181–365 days</t>
        </is>
      </c>
      <c r="G22" s="51" t="inlineStr">
        <is>
          <t>365+ days</t>
        </is>
      </c>
    </row>
  </sheetData>
  <mergeCells count="12">
    <mergeCell ref="C20:D20"/>
    <mergeCell ref="A2:L2"/>
    <mergeCell ref="A20:B20"/>
    <mergeCell ref="E20:F20"/>
    <mergeCell ref="G20:H20"/>
    <mergeCell ref="I20:J20"/>
    <mergeCell ref="K20:L20"/>
    <mergeCell ref="A1:L1"/>
    <mergeCell ref="E22:F22"/>
    <mergeCell ref="C22:D22"/>
    <mergeCell ref="G22:H22"/>
    <mergeCell ref="A22:B2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28" customWidth="1" min="4" max="4"/>
    <col width="14" customWidth="1" min="5" max="5"/>
    <col width="14" customWidth="1" min="6" max="6"/>
    <col width="12" customWidth="1" min="7" max="7"/>
    <col width="10" customWidth="1" min="8" max="8"/>
    <col width="8" customWidth="1" min="9" max="9"/>
    <col width="16" customWidth="1" min="10" max="10"/>
  </cols>
  <sheetData>
    <row r="1" ht="32" customHeight="1">
      <c r="A1" s="1" t="inlineStr">
        <is>
          <t>Contacts — Master list of all people in your CRM</t>
        </is>
      </c>
    </row>
    <row r="2" ht="22" customHeight="1">
      <c r="A2" s="3" t="inlineStr">
        <is>
          <t>ID</t>
        </is>
      </c>
      <c r="B2" s="3" t="inlineStr">
        <is>
          <t>First name</t>
        </is>
      </c>
      <c r="C2" s="3" t="inlineStr">
        <is>
          <t>Last name</t>
        </is>
      </c>
      <c r="D2" s="3" t="inlineStr">
        <is>
          <t>Email</t>
        </is>
      </c>
      <c r="E2" s="3" t="inlineStr">
        <is>
          <t>Phone</t>
        </is>
      </c>
      <c r="F2" s="3" t="inlineStr">
        <is>
          <t>City</t>
        </is>
      </c>
      <c r="G2" s="3" t="inlineStr">
        <is>
          <t>Type</t>
        </is>
      </c>
      <c r="H2" s="3" t="inlineStr">
        <is>
          <t>Status</t>
        </is>
      </c>
      <c r="I2" s="3" t="inlineStr">
        <is>
          <t>Score</t>
        </is>
      </c>
      <c r="J2" s="3" t="inlineStr">
        <is>
          <t>Source</t>
        </is>
      </c>
    </row>
    <row r="3" ht="17" customHeight="1">
      <c r="A3" s="5" t="n">
        <v>1</v>
      </c>
      <c r="B3" s="5" t="inlineStr">
        <is>
          <t>William</t>
        </is>
      </c>
      <c r="C3" s="5" t="inlineStr">
        <is>
          <t>Thornton</t>
        </is>
      </c>
      <c r="D3" s="5" t="inlineStr">
        <is>
          <t>william.thornton1@example.com</t>
        </is>
      </c>
      <c r="E3" s="5" t="inlineStr">
        <is>
          <t>555-1000</t>
        </is>
      </c>
      <c r="F3" s="5" t="inlineStr">
        <is>
          <t>Riverside</t>
        </is>
      </c>
      <c r="G3" s="5" t="inlineStr">
        <is>
          <t>Donor</t>
        </is>
      </c>
      <c r="H3" s="5" t="inlineStr">
        <is>
          <t>Active</t>
        </is>
      </c>
      <c r="I3" s="5" t="n">
        <v>43</v>
      </c>
      <c r="J3" s="5" t="inlineStr">
        <is>
          <t>Event</t>
        </is>
      </c>
    </row>
    <row r="4" ht="17" customHeight="1">
      <c r="A4" s="7" t="n">
        <v>2</v>
      </c>
      <c r="B4" s="7" t="inlineStr">
        <is>
          <t>Andrew</t>
        </is>
      </c>
      <c r="C4" s="7" t="inlineStr">
        <is>
          <t>Ortiz</t>
        </is>
      </c>
      <c r="D4" s="7" t="inlineStr">
        <is>
          <t>andrew.ortiz2@example.com</t>
        </is>
      </c>
      <c r="E4" s="7" t="inlineStr">
        <is>
          <t>555-1001</t>
        </is>
      </c>
      <c r="F4" s="7" t="inlineStr">
        <is>
          <t>Springfield</t>
        </is>
      </c>
      <c r="G4" s="7" t="inlineStr">
        <is>
          <t>Volunteer</t>
        </is>
      </c>
      <c r="H4" s="7" t="inlineStr">
        <is>
          <t>Active</t>
        </is>
      </c>
      <c r="I4" s="7" t="n">
        <v>18</v>
      </c>
      <c r="J4" s="7" t="inlineStr">
        <is>
          <t>Referral</t>
        </is>
      </c>
    </row>
    <row r="5" ht="17" customHeight="1">
      <c r="A5" s="5" t="n">
        <v>3</v>
      </c>
      <c r="B5" s="5" t="inlineStr">
        <is>
          <t>Paul</t>
        </is>
      </c>
      <c r="C5" s="5" t="inlineStr">
        <is>
          <t>Perez</t>
        </is>
      </c>
      <c r="D5" s="5" t="inlineStr">
        <is>
          <t>paul.perez3@example.com</t>
        </is>
      </c>
      <c r="E5" s="5" t="inlineStr">
        <is>
          <t>555-1002</t>
        </is>
      </c>
      <c r="F5" s="5" t="inlineStr">
        <is>
          <t>Maplewood</t>
        </is>
      </c>
      <c r="G5" s="5" t="inlineStr">
        <is>
          <t>Volunteer</t>
        </is>
      </c>
      <c r="H5" s="5" t="inlineStr">
        <is>
          <t>Active</t>
        </is>
      </c>
      <c r="I5" s="5" t="n">
        <v>84</v>
      </c>
      <c r="J5" s="5" t="inlineStr">
        <is>
          <t>Referral</t>
        </is>
      </c>
    </row>
    <row r="6" ht="17" customHeight="1">
      <c r="A6" s="7" t="n">
        <v>4</v>
      </c>
      <c r="B6" s="7" t="inlineStr">
        <is>
          <t>Donna</t>
        </is>
      </c>
      <c r="C6" s="7" t="inlineStr">
        <is>
          <t>Garcia</t>
        </is>
      </c>
      <c r="D6" s="7" t="inlineStr">
        <is>
          <t>donna.garcia4@example.com</t>
        </is>
      </c>
      <c r="E6" s="7" t="inlineStr">
        <is>
          <t>555-1003</t>
        </is>
      </c>
      <c r="F6" s="7" t="inlineStr">
        <is>
          <t>Maplewood</t>
        </is>
      </c>
      <c r="G6" s="7" t="inlineStr">
        <is>
          <t>Volunteer</t>
        </is>
      </c>
      <c r="H6" s="7" t="inlineStr">
        <is>
          <t>Active</t>
        </is>
      </c>
      <c r="I6" s="7" t="n">
        <v>35</v>
      </c>
      <c r="J6" s="7" t="inlineStr">
        <is>
          <t>Online signup</t>
        </is>
      </c>
    </row>
    <row r="7" ht="17" customHeight="1">
      <c r="A7" s="5" t="n">
        <v>5</v>
      </c>
      <c r="B7" s="5" t="inlineStr">
        <is>
          <t>David</t>
        </is>
      </c>
      <c r="C7" s="5" t="inlineStr">
        <is>
          <t>Jackson</t>
        </is>
      </c>
      <c r="D7" s="5" t="inlineStr">
        <is>
          <t>david.jackson5@example.com</t>
        </is>
      </c>
      <c r="E7" s="5" t="inlineStr">
        <is>
          <t>555-1004</t>
        </is>
      </c>
      <c r="F7" s="5" t="inlineStr">
        <is>
          <t>Springfield</t>
        </is>
      </c>
      <c r="G7" s="5" t="inlineStr">
        <is>
          <t>Both</t>
        </is>
      </c>
      <c r="H7" s="5" t="inlineStr">
        <is>
          <t>Active</t>
        </is>
      </c>
      <c r="I7" s="5" t="n">
        <v>63</v>
      </c>
      <c r="J7" s="5" t="inlineStr">
        <is>
          <t>Referral</t>
        </is>
      </c>
    </row>
    <row r="8" ht="17" customHeight="1">
      <c r="A8" s="7" t="n">
        <v>6</v>
      </c>
      <c r="B8" s="7" t="inlineStr">
        <is>
          <t>George</t>
        </is>
      </c>
      <c r="C8" s="7" t="inlineStr">
        <is>
          <t>Martin</t>
        </is>
      </c>
      <c r="D8" s="7" t="inlineStr">
        <is>
          <t>george.martin6@example.com</t>
        </is>
      </c>
      <c r="E8" s="7" t="inlineStr">
        <is>
          <t>555-1005</t>
        </is>
      </c>
      <c r="F8" s="7" t="inlineStr">
        <is>
          <t>Springfield</t>
        </is>
      </c>
      <c r="G8" s="7" t="inlineStr">
        <is>
          <t>Volunteer</t>
        </is>
      </c>
      <c r="H8" s="7" t="inlineStr">
        <is>
          <t>Active</t>
        </is>
      </c>
      <c r="I8" s="7" t="n">
        <v>83</v>
      </c>
      <c r="J8" s="7" t="inlineStr">
        <is>
          <t>Event</t>
        </is>
      </c>
    </row>
    <row r="9" ht="17" customHeight="1">
      <c r="A9" s="5" t="n">
        <v>7</v>
      </c>
      <c r="B9" s="5" t="inlineStr">
        <is>
          <t>Emily</t>
        </is>
      </c>
      <c r="C9" s="5" t="inlineStr">
        <is>
          <t>Martinez</t>
        </is>
      </c>
      <c r="D9" s="5" t="inlineStr">
        <is>
          <t>emily.martinez7@example.com</t>
        </is>
      </c>
      <c r="E9" s="5" t="inlineStr">
        <is>
          <t>555-1006</t>
        </is>
      </c>
      <c r="F9" s="5" t="inlineStr">
        <is>
          <t>Riverside</t>
        </is>
      </c>
      <c r="G9" s="5" t="inlineStr">
        <is>
          <t>Donor</t>
        </is>
      </c>
      <c r="H9" s="5" t="inlineStr">
        <is>
          <t>Active</t>
        </is>
      </c>
      <c r="I9" s="5" t="n">
        <v>61</v>
      </c>
      <c r="J9" s="5" t="inlineStr">
        <is>
          <t>Referral</t>
        </is>
      </c>
    </row>
    <row r="10" ht="17" customHeight="1">
      <c r="A10" s="7" t="n">
        <v>8</v>
      </c>
      <c r="B10" s="7" t="inlineStr">
        <is>
          <t>Jessica</t>
        </is>
      </c>
      <c r="C10" s="7" t="inlineStr">
        <is>
          <t>Martinez</t>
        </is>
      </c>
      <c r="D10" s="7" t="inlineStr">
        <is>
          <t>jessica.martinez8@example.com</t>
        </is>
      </c>
      <c r="E10" s="7" t="inlineStr">
        <is>
          <t>555-1007</t>
        </is>
      </c>
      <c r="F10" s="7" t="inlineStr">
        <is>
          <t>Springfield</t>
        </is>
      </c>
      <c r="G10" s="7" t="inlineStr">
        <is>
          <t>Volunteer</t>
        </is>
      </c>
      <c r="H10" s="7" t="inlineStr">
        <is>
          <t>Lapsed</t>
        </is>
      </c>
      <c r="I10" s="7" t="n">
        <v>27</v>
      </c>
      <c r="J10" s="7" t="inlineStr">
        <is>
          <t>Referral</t>
        </is>
      </c>
    </row>
    <row r="11" ht="17" customHeight="1">
      <c r="A11" s="5" t="n">
        <v>9</v>
      </c>
      <c r="B11" s="5" t="inlineStr">
        <is>
          <t>Ashley</t>
        </is>
      </c>
      <c r="C11" s="5" t="inlineStr">
        <is>
          <t>Walker</t>
        </is>
      </c>
      <c r="D11" s="5" t="inlineStr">
        <is>
          <t>ashley.walker9@example.com</t>
        </is>
      </c>
      <c r="E11" s="5" t="inlineStr">
        <is>
          <t>555-1008</t>
        </is>
      </c>
      <c r="F11" s="5" t="inlineStr">
        <is>
          <t>Oakdale</t>
        </is>
      </c>
      <c r="G11" s="5" t="inlineStr">
        <is>
          <t>Donor</t>
        </is>
      </c>
      <c r="H11" s="5" t="inlineStr">
        <is>
          <t>Active</t>
        </is>
      </c>
      <c r="I11" s="5" t="n">
        <v>41</v>
      </c>
      <c r="J11" s="5" t="inlineStr">
        <is>
          <t>Referral</t>
        </is>
      </c>
    </row>
    <row r="12" ht="17" customHeight="1">
      <c r="A12" s="7" t="n">
        <v>10</v>
      </c>
      <c r="B12" s="7" t="inlineStr">
        <is>
          <t>Linda</t>
        </is>
      </c>
      <c r="C12" s="7" t="inlineStr">
        <is>
          <t>Perez</t>
        </is>
      </c>
      <c r="D12" s="7" t="inlineStr">
        <is>
          <t>linda.perez10@example.com</t>
        </is>
      </c>
      <c r="E12" s="7" t="inlineStr">
        <is>
          <t>555-1009</t>
        </is>
      </c>
      <c r="F12" s="7" t="inlineStr">
        <is>
          <t>Riverside</t>
        </is>
      </c>
      <c r="G12" s="7" t="inlineStr">
        <is>
          <t>Donor</t>
        </is>
      </c>
      <c r="H12" s="7" t="inlineStr">
        <is>
          <t>Active</t>
        </is>
      </c>
      <c r="I12" s="7" t="n">
        <v>46</v>
      </c>
      <c r="J12" s="7" t="inlineStr">
        <is>
          <t>Online signup</t>
        </is>
      </c>
    </row>
    <row r="13" ht="17" customHeight="1">
      <c r="A13" s="5" t="n">
        <v>11</v>
      </c>
      <c r="B13" s="5" t="inlineStr">
        <is>
          <t>Charles</t>
        </is>
      </c>
      <c r="C13" s="5" t="inlineStr">
        <is>
          <t>Nelson</t>
        </is>
      </c>
      <c r="D13" s="5" t="inlineStr">
        <is>
          <t>charles.nelson11@example.com</t>
        </is>
      </c>
      <c r="E13" s="5" t="inlineStr">
        <is>
          <t>555-1010</t>
        </is>
      </c>
      <c r="F13" s="5" t="inlineStr">
        <is>
          <t>Riverside</t>
        </is>
      </c>
      <c r="G13" s="5" t="inlineStr">
        <is>
          <t>Donor</t>
        </is>
      </c>
      <c r="H13" s="5" t="inlineStr">
        <is>
          <t>Active</t>
        </is>
      </c>
      <c r="I13" s="5" t="n">
        <v>22</v>
      </c>
      <c r="J13" s="5" t="inlineStr">
        <is>
          <t>Referral</t>
        </is>
      </c>
    </row>
    <row r="14" ht="17" customHeight="1">
      <c r="A14" s="7" t="n">
        <v>12</v>
      </c>
      <c r="B14" s="7" t="inlineStr">
        <is>
          <t>Anthony</t>
        </is>
      </c>
      <c r="C14" s="7" t="inlineStr">
        <is>
          <t>Garcia</t>
        </is>
      </c>
      <c r="D14" s="7" t="inlineStr">
        <is>
          <t>anthony.garcia12@example.com</t>
        </is>
      </c>
      <c r="E14" s="7" t="inlineStr">
        <is>
          <t>555-1011</t>
        </is>
      </c>
      <c r="F14" s="7" t="inlineStr">
        <is>
          <t>Oakdale</t>
        </is>
      </c>
      <c r="G14" s="7" t="inlineStr">
        <is>
          <t>Volunteer</t>
        </is>
      </c>
      <c r="H14" s="7" t="inlineStr">
        <is>
          <t>Active</t>
        </is>
      </c>
      <c r="I14" s="7" t="n">
        <v>87</v>
      </c>
      <c r="J14" s="7" t="inlineStr">
        <is>
          <t>Walk-in</t>
        </is>
      </c>
    </row>
    <row r="15" ht="17" customHeight="1">
      <c r="A15" s="5" t="n">
        <v>13</v>
      </c>
      <c r="B15" s="5" t="inlineStr">
        <is>
          <t>Dorothy</t>
        </is>
      </c>
      <c r="C15" s="5" t="inlineStr">
        <is>
          <t>Allen</t>
        </is>
      </c>
      <c r="D15" s="5" t="inlineStr">
        <is>
          <t>dorothy.allen13@example.com</t>
        </is>
      </c>
      <c r="E15" s="5" t="inlineStr">
        <is>
          <t>555-1012</t>
        </is>
      </c>
      <c r="F15" s="5" t="inlineStr">
        <is>
          <t>Riverside</t>
        </is>
      </c>
      <c r="G15" s="5" t="inlineStr">
        <is>
          <t>Donor</t>
        </is>
      </c>
      <c r="H15" s="5" t="inlineStr">
        <is>
          <t>Active</t>
        </is>
      </c>
      <c r="I15" s="5" t="n">
        <v>48</v>
      </c>
      <c r="J15" s="5" t="inlineStr">
        <is>
          <t>Walk-in</t>
        </is>
      </c>
    </row>
    <row r="16" ht="17" customHeight="1">
      <c r="A16" s="7" t="n">
        <v>14</v>
      </c>
      <c r="B16" s="7" t="inlineStr">
        <is>
          <t>Emily</t>
        </is>
      </c>
      <c r="C16" s="7" t="inlineStr">
        <is>
          <t>Baker</t>
        </is>
      </c>
      <c r="D16" s="7" t="inlineStr">
        <is>
          <t>emily.baker14@example.com</t>
        </is>
      </c>
      <c r="E16" s="7" t="inlineStr">
        <is>
          <t>555-1013</t>
        </is>
      </c>
      <c r="F16" s="7" t="inlineStr">
        <is>
          <t>Maplewood</t>
        </is>
      </c>
      <c r="G16" s="7" t="inlineStr">
        <is>
          <t>Both</t>
        </is>
      </c>
      <c r="H16" s="7" t="inlineStr">
        <is>
          <t>Active</t>
        </is>
      </c>
      <c r="I16" s="7" t="n">
        <v>69</v>
      </c>
      <c r="J16" s="7" t="inlineStr">
        <is>
          <t>Walk-in</t>
        </is>
      </c>
    </row>
    <row r="17" ht="17" customHeight="1">
      <c r="A17" s="5" t="n">
        <v>15</v>
      </c>
      <c r="B17" s="5" t="inlineStr">
        <is>
          <t>Elizabeth</t>
        </is>
      </c>
      <c r="C17" s="5" t="inlineStr">
        <is>
          <t>Green</t>
        </is>
      </c>
      <c r="D17" s="5" t="inlineStr">
        <is>
          <t>elizabeth.green15@example.com</t>
        </is>
      </c>
      <c r="E17" s="5" t="inlineStr">
        <is>
          <t>555-1014</t>
        </is>
      </c>
      <c r="F17" s="5" t="inlineStr">
        <is>
          <t>Springfield</t>
        </is>
      </c>
      <c r="G17" s="5" t="inlineStr">
        <is>
          <t>Both</t>
        </is>
      </c>
      <c r="H17" s="5" t="inlineStr">
        <is>
          <t>Active</t>
        </is>
      </c>
      <c r="I17" s="5" t="n">
        <v>21</v>
      </c>
      <c r="J17" s="5" t="inlineStr">
        <is>
          <t>Event</t>
        </is>
      </c>
    </row>
    <row r="18" ht="17" customHeight="1">
      <c r="A18" s="7" t="n">
        <v>16</v>
      </c>
      <c r="B18" s="7" t="inlineStr">
        <is>
          <t>Jennifer</t>
        </is>
      </c>
      <c r="C18" s="7" t="inlineStr">
        <is>
          <t>King</t>
        </is>
      </c>
      <c r="D18" s="7" t="inlineStr">
        <is>
          <t>jennifer.king16@example.com</t>
        </is>
      </c>
      <c r="E18" s="7" t="inlineStr">
        <is>
          <t>555-1015</t>
        </is>
      </c>
      <c r="F18" s="7" t="inlineStr">
        <is>
          <t>Maplewood</t>
        </is>
      </c>
      <c r="G18" s="7" t="inlineStr">
        <is>
          <t>Volunteer</t>
        </is>
      </c>
      <c r="H18" s="7" t="inlineStr">
        <is>
          <t>Active</t>
        </is>
      </c>
      <c r="I18" s="7" t="n">
        <v>63</v>
      </c>
      <c r="J18" s="7" t="inlineStr">
        <is>
          <t>Event</t>
        </is>
      </c>
    </row>
    <row r="19" ht="17" customHeight="1">
      <c r="A19" s="5" t="n">
        <v>17</v>
      </c>
      <c r="B19" s="5" t="inlineStr">
        <is>
          <t>Emily</t>
        </is>
      </c>
      <c r="C19" s="5" t="inlineStr">
        <is>
          <t>Santos</t>
        </is>
      </c>
      <c r="D19" s="5" t="inlineStr">
        <is>
          <t>emily.santos17@example.com</t>
        </is>
      </c>
      <c r="E19" s="5" t="inlineStr">
        <is>
          <t>555-1016</t>
        </is>
      </c>
      <c r="F19" s="5" t="inlineStr">
        <is>
          <t>Oakdale</t>
        </is>
      </c>
      <c r="G19" s="5" t="inlineStr">
        <is>
          <t>Donor</t>
        </is>
      </c>
      <c r="H19" s="5" t="inlineStr">
        <is>
          <t>Active</t>
        </is>
      </c>
      <c r="I19" s="5" t="n">
        <v>83</v>
      </c>
      <c r="J19" s="5" t="inlineStr">
        <is>
          <t>Referral</t>
        </is>
      </c>
    </row>
    <row r="20" ht="17" customHeight="1">
      <c r="A20" s="7" t="n">
        <v>18</v>
      </c>
      <c r="B20" s="7" t="inlineStr">
        <is>
          <t>William</t>
        </is>
      </c>
      <c r="C20" s="7" t="inlineStr">
        <is>
          <t>Martinez</t>
        </is>
      </c>
      <c r="D20" s="7" t="inlineStr">
        <is>
          <t>william.martinez18@example.com</t>
        </is>
      </c>
      <c r="E20" s="7" t="inlineStr">
        <is>
          <t>555-1017</t>
        </is>
      </c>
      <c r="F20" s="7" t="inlineStr">
        <is>
          <t>Oakdale</t>
        </is>
      </c>
      <c r="G20" s="7" t="inlineStr">
        <is>
          <t>Both</t>
        </is>
      </c>
      <c r="H20" s="7" t="inlineStr">
        <is>
          <t>Active</t>
        </is>
      </c>
      <c r="I20" s="7" t="n">
        <v>15</v>
      </c>
      <c r="J20" s="7" t="inlineStr">
        <is>
          <t>Walk-in</t>
        </is>
      </c>
    </row>
    <row r="21" ht="17" customHeight="1">
      <c r="A21" s="5" t="n">
        <v>19</v>
      </c>
      <c r="B21" s="5" t="inlineStr">
        <is>
          <t>Richard</t>
        </is>
      </c>
      <c r="C21" s="5" t="inlineStr">
        <is>
          <t>Green</t>
        </is>
      </c>
      <c r="D21" s="5" t="inlineStr">
        <is>
          <t>richard.green19@example.com</t>
        </is>
      </c>
      <c r="E21" s="5" t="inlineStr">
        <is>
          <t>555-1018</t>
        </is>
      </c>
      <c r="F21" s="5" t="inlineStr">
        <is>
          <t>Riverside</t>
        </is>
      </c>
      <c r="G21" s="5" t="inlineStr">
        <is>
          <t>Volunteer</t>
        </is>
      </c>
      <c r="H21" s="5" t="inlineStr">
        <is>
          <t>Lapsed</t>
        </is>
      </c>
      <c r="I21" s="5" t="n">
        <v>9</v>
      </c>
      <c r="J21" s="5" t="inlineStr">
        <is>
          <t>Online signup</t>
        </is>
      </c>
    </row>
    <row r="22" ht="17" customHeight="1">
      <c r="A22" s="7" t="n">
        <v>20</v>
      </c>
      <c r="B22" s="7" t="inlineStr">
        <is>
          <t>Jennifer</t>
        </is>
      </c>
      <c r="C22" s="7" t="inlineStr">
        <is>
          <t>Baker</t>
        </is>
      </c>
      <c r="D22" s="7" t="inlineStr">
        <is>
          <t>jennifer.baker20@example.com</t>
        </is>
      </c>
      <c r="E22" s="7" t="inlineStr">
        <is>
          <t>555-1019</t>
        </is>
      </c>
      <c r="F22" s="7" t="inlineStr">
        <is>
          <t>Oakdale</t>
        </is>
      </c>
      <c r="G22" s="7" t="inlineStr">
        <is>
          <t>Volunteer</t>
        </is>
      </c>
      <c r="H22" s="7" t="inlineStr">
        <is>
          <t>Lapsed</t>
        </is>
      </c>
      <c r="I22" s="7" t="n">
        <v>19</v>
      </c>
      <c r="J22" s="7" t="inlineStr">
        <is>
          <t>Walk-in</t>
        </is>
      </c>
    </row>
    <row r="23" ht="17" customHeight="1">
      <c r="A23" s="5" t="n">
        <v>21</v>
      </c>
      <c r="B23" s="5" t="inlineStr">
        <is>
          <t>William</t>
        </is>
      </c>
      <c r="C23" s="5" t="inlineStr">
        <is>
          <t>Walker</t>
        </is>
      </c>
      <c r="D23" s="5" t="inlineStr">
        <is>
          <t>william.walker21@example.com</t>
        </is>
      </c>
      <c r="E23" s="5" t="inlineStr">
        <is>
          <t>555-1020</t>
        </is>
      </c>
      <c r="F23" s="5" t="inlineStr">
        <is>
          <t>Springfield</t>
        </is>
      </c>
      <c r="G23" s="5" t="inlineStr">
        <is>
          <t>Both</t>
        </is>
      </c>
      <c r="H23" s="5" t="inlineStr">
        <is>
          <t>Active</t>
        </is>
      </c>
      <c r="I23" s="5" t="n">
        <v>45</v>
      </c>
      <c r="J23" s="5" t="inlineStr">
        <is>
          <t>Walk-in</t>
        </is>
      </c>
    </row>
    <row r="24" ht="17" customHeight="1">
      <c r="A24" s="7" t="n">
        <v>22</v>
      </c>
      <c r="B24" s="7" t="inlineStr">
        <is>
          <t>Dorothy</t>
        </is>
      </c>
      <c r="C24" s="7" t="inlineStr">
        <is>
          <t>Chen</t>
        </is>
      </c>
      <c r="D24" s="7" t="inlineStr">
        <is>
          <t>dorothy.chen22@example.com</t>
        </is>
      </c>
      <c r="E24" s="7" t="inlineStr">
        <is>
          <t>555-1021</t>
        </is>
      </c>
      <c r="F24" s="7" t="inlineStr">
        <is>
          <t>Maplewood</t>
        </is>
      </c>
      <c r="G24" s="7" t="inlineStr">
        <is>
          <t>Volunteer</t>
        </is>
      </c>
      <c r="H24" s="7" t="inlineStr">
        <is>
          <t>Active</t>
        </is>
      </c>
      <c r="I24" s="7" t="n">
        <v>31</v>
      </c>
      <c r="J24" s="7" t="inlineStr">
        <is>
          <t>Event</t>
        </is>
      </c>
    </row>
    <row r="25" ht="17" customHeight="1">
      <c r="A25" s="5" t="n">
        <v>23</v>
      </c>
      <c r="B25" s="5" t="inlineStr">
        <is>
          <t>Sarah</t>
        </is>
      </c>
      <c r="C25" s="5" t="inlineStr">
        <is>
          <t>Adams</t>
        </is>
      </c>
      <c r="D25" s="5" t="inlineStr">
        <is>
          <t>sarah.adams23@example.com</t>
        </is>
      </c>
      <c r="E25" s="5" t="inlineStr">
        <is>
          <t>555-1022</t>
        </is>
      </c>
      <c r="F25" s="5" t="inlineStr">
        <is>
          <t>Riverside</t>
        </is>
      </c>
      <c r="G25" s="5" t="inlineStr">
        <is>
          <t>Volunteer</t>
        </is>
      </c>
      <c r="H25" s="5" t="inlineStr">
        <is>
          <t>Active</t>
        </is>
      </c>
      <c r="I25" s="5" t="n">
        <v>42</v>
      </c>
      <c r="J25" s="5" t="inlineStr">
        <is>
          <t>Event</t>
        </is>
      </c>
    </row>
    <row r="26" ht="17" customHeight="1">
      <c r="A26" s="7" t="n">
        <v>24</v>
      </c>
      <c r="B26" s="7" t="inlineStr">
        <is>
          <t>Matthew</t>
        </is>
      </c>
      <c r="C26" s="7" t="inlineStr">
        <is>
          <t>Wright</t>
        </is>
      </c>
      <c r="D26" s="7" t="inlineStr">
        <is>
          <t>matthew.wright24@example.com</t>
        </is>
      </c>
      <c r="E26" s="7" t="inlineStr">
        <is>
          <t>555-1023</t>
        </is>
      </c>
      <c r="F26" s="7" t="inlineStr">
        <is>
          <t>Riverside</t>
        </is>
      </c>
      <c r="G26" s="7" t="inlineStr">
        <is>
          <t>Volunteer</t>
        </is>
      </c>
      <c r="H26" s="7" t="inlineStr">
        <is>
          <t>Active</t>
        </is>
      </c>
      <c r="I26" s="7" t="n">
        <v>46</v>
      </c>
      <c r="J26" s="7" t="inlineStr">
        <is>
          <t>Online signup</t>
        </is>
      </c>
    </row>
    <row r="27" ht="17" customHeight="1">
      <c r="A27" s="5" t="n">
        <v>25</v>
      </c>
      <c r="B27" s="5" t="inlineStr">
        <is>
          <t>James</t>
        </is>
      </c>
      <c r="C27" s="5" t="inlineStr">
        <is>
          <t>Mitchell</t>
        </is>
      </c>
      <c r="D27" s="5" t="inlineStr">
        <is>
          <t>james.mitchell25@example.com</t>
        </is>
      </c>
      <c r="E27" s="5" t="inlineStr">
        <is>
          <t>555-1024</t>
        </is>
      </c>
      <c r="F27" s="5" t="inlineStr">
        <is>
          <t>Springfield</t>
        </is>
      </c>
      <c r="G27" s="5" t="inlineStr">
        <is>
          <t>Volunteer</t>
        </is>
      </c>
      <c r="H27" s="5" t="inlineStr">
        <is>
          <t>Active</t>
        </is>
      </c>
      <c r="I27" s="5" t="n">
        <v>43</v>
      </c>
      <c r="J27" s="5" t="inlineStr">
        <is>
          <t>Event</t>
        </is>
      </c>
    </row>
    <row r="28" ht="17" customHeight="1">
      <c r="A28" s="7" t="n">
        <v>26</v>
      </c>
      <c r="B28" s="7" t="inlineStr">
        <is>
          <t>Robert</t>
        </is>
      </c>
      <c r="C28" s="7" t="inlineStr">
        <is>
          <t>White</t>
        </is>
      </c>
      <c r="D28" s="7" t="inlineStr">
        <is>
          <t>robert.white26@example.com</t>
        </is>
      </c>
      <c r="E28" s="7" t="inlineStr">
        <is>
          <t>555-1025</t>
        </is>
      </c>
      <c r="F28" s="7" t="inlineStr">
        <is>
          <t>Oakdale</t>
        </is>
      </c>
      <c r="G28" s="7" t="inlineStr">
        <is>
          <t>Volunteer</t>
        </is>
      </c>
      <c r="H28" s="7" t="inlineStr">
        <is>
          <t>Lapsed</t>
        </is>
      </c>
      <c r="I28" s="7" t="n">
        <v>27</v>
      </c>
      <c r="J28" s="7" t="inlineStr">
        <is>
          <t>Online signup</t>
        </is>
      </c>
    </row>
    <row r="29" ht="17" customHeight="1">
      <c r="A29" s="5" t="n">
        <v>27</v>
      </c>
      <c r="B29" s="5" t="inlineStr">
        <is>
          <t>Thomas</t>
        </is>
      </c>
      <c r="C29" s="5" t="inlineStr">
        <is>
          <t>Garcia</t>
        </is>
      </c>
      <c r="D29" s="5" t="inlineStr">
        <is>
          <t>thomas.garcia27@example.com</t>
        </is>
      </c>
      <c r="E29" s="5" t="inlineStr">
        <is>
          <t>555-1026</t>
        </is>
      </c>
      <c r="F29" s="5" t="inlineStr">
        <is>
          <t>Riverside</t>
        </is>
      </c>
      <c r="G29" s="5" t="inlineStr">
        <is>
          <t>Donor</t>
        </is>
      </c>
      <c r="H29" s="5" t="inlineStr">
        <is>
          <t>Active</t>
        </is>
      </c>
      <c r="I29" s="5" t="n">
        <v>84</v>
      </c>
      <c r="J29" s="5" t="inlineStr">
        <is>
          <t>Event</t>
        </is>
      </c>
    </row>
    <row r="30" ht="17" customHeight="1">
      <c r="A30" s="7" t="n">
        <v>28</v>
      </c>
      <c r="B30" s="7" t="inlineStr">
        <is>
          <t>Steven</t>
        </is>
      </c>
      <c r="C30" s="7" t="inlineStr">
        <is>
          <t>Harris</t>
        </is>
      </c>
      <c r="D30" s="7" t="inlineStr">
        <is>
          <t>steven.harris28@example.com</t>
        </is>
      </c>
      <c r="E30" s="7" t="inlineStr">
        <is>
          <t>555-1027</t>
        </is>
      </c>
      <c r="F30" s="7" t="inlineStr">
        <is>
          <t>Springfield</t>
        </is>
      </c>
      <c r="G30" s="7" t="inlineStr">
        <is>
          <t>Both</t>
        </is>
      </c>
      <c r="H30" s="7" t="inlineStr">
        <is>
          <t>Active</t>
        </is>
      </c>
      <c r="I30" s="7" t="n">
        <v>39</v>
      </c>
      <c r="J30" s="7" t="inlineStr">
        <is>
          <t>Walk-in</t>
        </is>
      </c>
    </row>
    <row r="31" ht="17" customHeight="1">
      <c r="A31" s="5" t="n">
        <v>29</v>
      </c>
      <c r="B31" s="5" t="inlineStr">
        <is>
          <t>Sandra</t>
        </is>
      </c>
      <c r="C31" s="5" t="inlineStr">
        <is>
          <t>Lewis</t>
        </is>
      </c>
      <c r="D31" s="5" t="inlineStr">
        <is>
          <t>sandra.lewis29@example.com</t>
        </is>
      </c>
      <c r="E31" s="5" t="inlineStr">
        <is>
          <t>555-1028</t>
        </is>
      </c>
      <c r="F31" s="5" t="inlineStr">
        <is>
          <t>Springfield</t>
        </is>
      </c>
      <c r="G31" s="5" t="inlineStr">
        <is>
          <t>Both</t>
        </is>
      </c>
      <c r="H31" s="5" t="inlineStr">
        <is>
          <t>Active</t>
        </is>
      </c>
      <c r="I31" s="5" t="n">
        <v>21</v>
      </c>
      <c r="J31" s="5" t="inlineStr">
        <is>
          <t>Walk-in</t>
        </is>
      </c>
    </row>
    <row r="32" ht="17" customHeight="1">
      <c r="A32" s="7" t="n">
        <v>30</v>
      </c>
      <c r="B32" s="7" t="inlineStr">
        <is>
          <t>Daniel</t>
        </is>
      </c>
      <c r="C32" s="7" t="inlineStr">
        <is>
          <t>Nguyen</t>
        </is>
      </c>
      <c r="D32" s="7" t="inlineStr">
        <is>
          <t>daniel.nguyen30@example.com</t>
        </is>
      </c>
      <c r="E32" s="7" t="inlineStr">
        <is>
          <t>555-1029</t>
        </is>
      </c>
      <c r="F32" s="7" t="inlineStr">
        <is>
          <t>Maplewood</t>
        </is>
      </c>
      <c r="G32" s="7" t="inlineStr">
        <is>
          <t>Donor</t>
        </is>
      </c>
      <c r="H32" s="7" t="inlineStr">
        <is>
          <t>Active</t>
        </is>
      </c>
      <c r="I32" s="7" t="n">
        <v>83</v>
      </c>
      <c r="J32" s="7" t="inlineStr">
        <is>
          <t>Online signup</t>
        </is>
      </c>
    </row>
    <row r="33" ht="17" customHeight="1">
      <c r="A33" s="5" t="n">
        <v>31</v>
      </c>
      <c r="B33" s="5" t="inlineStr">
        <is>
          <t>Richard</t>
        </is>
      </c>
      <c r="C33" s="5" t="inlineStr">
        <is>
          <t>Garcia</t>
        </is>
      </c>
      <c r="D33" s="5" t="inlineStr">
        <is>
          <t>richard.garcia31@example.com</t>
        </is>
      </c>
      <c r="E33" s="5" t="inlineStr">
        <is>
          <t>555-1030</t>
        </is>
      </c>
      <c r="F33" s="5" t="inlineStr">
        <is>
          <t>Maplewood</t>
        </is>
      </c>
      <c r="G33" s="5" t="inlineStr">
        <is>
          <t>Both</t>
        </is>
      </c>
      <c r="H33" s="5" t="inlineStr">
        <is>
          <t>Active</t>
        </is>
      </c>
      <c r="I33" s="5" t="n">
        <v>24</v>
      </c>
      <c r="J33" s="5" t="inlineStr">
        <is>
          <t>Online signup</t>
        </is>
      </c>
    </row>
    <row r="34" ht="17" customHeight="1">
      <c r="A34" s="7" t="n">
        <v>32</v>
      </c>
      <c r="B34" s="7" t="inlineStr">
        <is>
          <t>Robert</t>
        </is>
      </c>
      <c r="C34" s="7" t="inlineStr">
        <is>
          <t>Baker</t>
        </is>
      </c>
      <c r="D34" s="7" t="inlineStr">
        <is>
          <t>robert.baker32@example.com</t>
        </is>
      </c>
      <c r="E34" s="7" t="inlineStr">
        <is>
          <t>555-1031</t>
        </is>
      </c>
      <c r="F34" s="7" t="inlineStr">
        <is>
          <t>Riverside</t>
        </is>
      </c>
      <c r="G34" s="7" t="inlineStr">
        <is>
          <t>Volunteer</t>
        </is>
      </c>
      <c r="H34" s="7" t="inlineStr">
        <is>
          <t>Inactive</t>
        </is>
      </c>
      <c r="I34" s="7" t="n">
        <v>29</v>
      </c>
      <c r="J34" s="7" t="inlineStr">
        <is>
          <t>Event</t>
        </is>
      </c>
    </row>
    <row r="35" ht="17" customHeight="1">
      <c r="A35" s="5" t="n">
        <v>33</v>
      </c>
      <c r="B35" s="5" t="inlineStr">
        <is>
          <t>Dorothy</t>
        </is>
      </c>
      <c r="C35" s="5" t="inlineStr">
        <is>
          <t>Hill</t>
        </is>
      </c>
      <c r="D35" s="5" t="inlineStr">
        <is>
          <t>dorothy.hill33@example.com</t>
        </is>
      </c>
      <c r="E35" s="5" t="inlineStr">
        <is>
          <t>555-1032</t>
        </is>
      </c>
      <c r="F35" s="5" t="inlineStr">
        <is>
          <t>Springfield</t>
        </is>
      </c>
      <c r="G35" s="5" t="inlineStr">
        <is>
          <t>Donor</t>
        </is>
      </c>
      <c r="H35" s="5" t="inlineStr">
        <is>
          <t>Lapsed</t>
        </is>
      </c>
      <c r="I35" s="5" t="n">
        <v>28</v>
      </c>
      <c r="J35" s="5" t="inlineStr">
        <is>
          <t>Event</t>
        </is>
      </c>
    </row>
    <row r="36" ht="17" customHeight="1">
      <c r="A36" s="7" t="n">
        <v>34</v>
      </c>
      <c r="B36" s="7" t="inlineStr">
        <is>
          <t>Maria</t>
        </is>
      </c>
      <c r="C36" s="7" t="inlineStr">
        <is>
          <t>Hall</t>
        </is>
      </c>
      <c r="D36" s="7" t="inlineStr">
        <is>
          <t>maria.hall34@example.com</t>
        </is>
      </c>
      <c r="E36" s="7" t="inlineStr">
        <is>
          <t>555-1033</t>
        </is>
      </c>
      <c r="F36" s="7" t="inlineStr">
        <is>
          <t>Maplewood</t>
        </is>
      </c>
      <c r="G36" s="7" t="inlineStr">
        <is>
          <t>Both</t>
        </is>
      </c>
      <c r="H36" s="7" t="inlineStr">
        <is>
          <t>Lapsed</t>
        </is>
      </c>
      <c r="I36" s="7" t="n">
        <v>25</v>
      </c>
      <c r="J36" s="7" t="inlineStr">
        <is>
          <t>Online signup</t>
        </is>
      </c>
    </row>
    <row r="37" ht="17" customHeight="1">
      <c r="A37" s="5" t="n">
        <v>35</v>
      </c>
      <c r="B37" s="5" t="inlineStr">
        <is>
          <t>Emily</t>
        </is>
      </c>
      <c r="C37" s="5" t="inlineStr">
        <is>
          <t>Scott</t>
        </is>
      </c>
      <c r="D37" s="5" t="inlineStr">
        <is>
          <t>emily.scott35@example.com</t>
        </is>
      </c>
      <c r="E37" s="5" t="inlineStr">
        <is>
          <t>555-1034</t>
        </is>
      </c>
      <c r="F37" s="5" t="inlineStr">
        <is>
          <t>Springfield</t>
        </is>
      </c>
      <c r="G37" s="5" t="inlineStr">
        <is>
          <t>Donor</t>
        </is>
      </c>
      <c r="H37" s="5" t="inlineStr">
        <is>
          <t>Active</t>
        </is>
      </c>
      <c r="I37" s="5" t="n">
        <v>42</v>
      </c>
      <c r="J37" s="5" t="inlineStr">
        <is>
          <t>Online signup</t>
        </is>
      </c>
    </row>
    <row r="38" ht="17" customHeight="1">
      <c r="A38" s="7" t="n">
        <v>36</v>
      </c>
      <c r="B38" s="7" t="inlineStr">
        <is>
          <t>Andrew</t>
        </is>
      </c>
      <c r="C38" s="7" t="inlineStr">
        <is>
          <t>Kim</t>
        </is>
      </c>
      <c r="D38" s="7" t="inlineStr">
        <is>
          <t>andrew.kim36@example.com</t>
        </is>
      </c>
      <c r="E38" s="7" t="inlineStr">
        <is>
          <t>555-1035</t>
        </is>
      </c>
      <c r="F38" s="7" t="inlineStr">
        <is>
          <t>Maplewood</t>
        </is>
      </c>
      <c r="G38" s="7" t="inlineStr">
        <is>
          <t>Donor</t>
        </is>
      </c>
      <c r="H38" s="7" t="inlineStr">
        <is>
          <t>Active</t>
        </is>
      </c>
      <c r="I38" s="7" t="n">
        <v>21</v>
      </c>
      <c r="J38" s="7" t="inlineStr">
        <is>
          <t>Walk-in</t>
        </is>
      </c>
    </row>
    <row r="39" ht="17" customHeight="1">
      <c r="A39" s="5" t="n">
        <v>37</v>
      </c>
      <c r="B39" s="5" t="inlineStr">
        <is>
          <t>Jennifer</t>
        </is>
      </c>
      <c r="C39" s="5" t="inlineStr">
        <is>
          <t>Kim</t>
        </is>
      </c>
      <c r="D39" s="5" t="inlineStr">
        <is>
          <t>jennifer.kim37@example.com</t>
        </is>
      </c>
      <c r="E39" s="5" t="inlineStr">
        <is>
          <t>555-1036</t>
        </is>
      </c>
      <c r="F39" s="5" t="inlineStr">
        <is>
          <t>Springfield</t>
        </is>
      </c>
      <c r="G39" s="5" t="inlineStr">
        <is>
          <t>Volunteer</t>
        </is>
      </c>
      <c r="H39" s="5" t="inlineStr">
        <is>
          <t>Active</t>
        </is>
      </c>
      <c r="I39" s="5" t="n">
        <v>38</v>
      </c>
      <c r="J39" s="5" t="inlineStr">
        <is>
          <t>Walk-in</t>
        </is>
      </c>
    </row>
    <row r="40" ht="17" customHeight="1">
      <c r="A40" s="7" t="n">
        <v>38</v>
      </c>
      <c r="B40" s="7" t="inlineStr">
        <is>
          <t>Thomas</t>
        </is>
      </c>
      <c r="C40" s="7" t="inlineStr">
        <is>
          <t>Allen</t>
        </is>
      </c>
      <c r="D40" s="7" t="inlineStr">
        <is>
          <t>thomas.allen38@example.com</t>
        </is>
      </c>
      <c r="E40" s="7" t="inlineStr">
        <is>
          <t>555-1037</t>
        </is>
      </c>
      <c r="F40" s="7" t="inlineStr">
        <is>
          <t>Riverside</t>
        </is>
      </c>
      <c r="G40" s="7" t="inlineStr">
        <is>
          <t>Volunteer</t>
        </is>
      </c>
      <c r="H40" s="7" t="inlineStr">
        <is>
          <t>Lapsed</t>
        </is>
      </c>
      <c r="I40" s="7" t="n">
        <v>18</v>
      </c>
      <c r="J40" s="7" t="inlineStr">
        <is>
          <t>Online signup</t>
        </is>
      </c>
    </row>
    <row r="41" ht="17" customHeight="1">
      <c r="A41" s="5" t="n">
        <v>39</v>
      </c>
      <c r="B41" s="5" t="inlineStr">
        <is>
          <t>Patricia</t>
        </is>
      </c>
      <c r="C41" s="5" t="inlineStr">
        <is>
          <t>Roberts</t>
        </is>
      </c>
      <c r="D41" s="5" t="inlineStr">
        <is>
          <t>patricia.roberts39@example.com</t>
        </is>
      </c>
      <c r="E41" s="5" t="inlineStr">
        <is>
          <t>555-1038</t>
        </is>
      </c>
      <c r="F41" s="5" t="inlineStr">
        <is>
          <t>Oakdale</t>
        </is>
      </c>
      <c r="G41" s="5" t="inlineStr">
        <is>
          <t>Volunteer</t>
        </is>
      </c>
      <c r="H41" s="5" t="inlineStr">
        <is>
          <t>Active</t>
        </is>
      </c>
      <c r="I41" s="5" t="n">
        <v>89</v>
      </c>
      <c r="J41" s="5" t="inlineStr">
        <is>
          <t>Walk-in</t>
        </is>
      </c>
    </row>
    <row r="42" ht="17" customHeight="1">
      <c r="A42" s="7" t="n">
        <v>40</v>
      </c>
      <c r="B42" s="7" t="inlineStr">
        <is>
          <t>Lisa</t>
        </is>
      </c>
      <c r="C42" s="7" t="inlineStr">
        <is>
          <t>Harris</t>
        </is>
      </c>
      <c r="D42" s="7" t="inlineStr">
        <is>
          <t>lisa.harris40@example.com</t>
        </is>
      </c>
      <c r="E42" s="7" t="inlineStr">
        <is>
          <t>555-1039</t>
        </is>
      </c>
      <c r="F42" s="7" t="inlineStr">
        <is>
          <t>Maplewood</t>
        </is>
      </c>
      <c r="G42" s="7" t="inlineStr">
        <is>
          <t>Both</t>
        </is>
      </c>
      <c r="H42" s="7" t="inlineStr">
        <is>
          <t>Active</t>
        </is>
      </c>
      <c r="I42" s="7" t="n">
        <v>53</v>
      </c>
      <c r="J42" s="7" t="inlineStr">
        <is>
          <t>Referral</t>
        </is>
      </c>
    </row>
  </sheetData>
  <mergeCells count="1">
    <mergeCell ref="A1:J1"/>
  </mergeCells>
  <conditionalFormatting sqref="I3:I42">
    <cfRule type="colorScale" priority="1">
      <colorScale>
        <cfvo type="min"/>
        <cfvo type="percentile" val="50"/>
        <cfvo type="max"/>
        <color rgb="00FCEBEB"/>
        <color rgb="00FAEEDA"/>
        <color rgb="00EAF3DE"/>
      </colorScale>
    </cfRule>
  </conditionalFormatting>
  <dataValidations count="2">
    <dataValidation sqref="G3:G1000" showDropDown="0" showInputMessage="0" showErrorMessage="0" allowBlank="1" type="list">
      <formula1>"Volunteer,Donor,Both,Staff,Board,Prospect"</formula1>
    </dataValidation>
    <dataValidation sqref="H3:H1000" showDropDown="0" showInputMessage="0" showErrorMessage="0" allowBlank="1" type="list">
      <formula1>"Active,Lapsed,Inactive,Opted Out"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2026-04-08T22:58:02Z</dcterms:created>
  <dcterms:modified xmlns:dcterms="http://purl.org/dc/terms/" xmlns:xsi="http://www.w3.org/2001/XMLSchema-instance" xsi:type="dcterms:W3CDTF">2026-04-08T22:58:03Z</dcterms:modified>
</cp:coreProperties>
</file>